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  <sheet name="Hitos" sheetId="2" state="visible" r:id="rId4"/>
    <sheet name="Feriados" sheetId="3" state="visible" r:id="rId5"/>
  </sheets>
  <definedNames>
    <definedName function="false" hidden="false" localSheetId="0" name="_xlnm.Print_Titles" vbProcedure="false">Cronograma!$4:$6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<sst xmlns="http://schemas.openxmlformats.org/spreadsheetml/2006/main" count="147" uniqueCount="104">
  <si>
    <t xml:space="preserve">Cronograma del proyecto: UAV de ala fija controlado por 4G LTE</t>
  </si>
  <si>
    <t xml:space="preserve">Del 16/10/2026 al 15/12/2026 · las barras del Gantt se dibujan solas a partir de Inicio y Fin</t>
  </si>
  <si>
    <t xml:space="preserve">Celdas amarillas = editables (Inicio, Fin, Estado). El resto se calcula. Feriados en la hoja "Feriados".</t>
  </si>
  <si>
    <t xml:space="preserve">OCTUBRE</t>
  </si>
  <si>
    <t xml:space="preserve">NOVIEMBRE</t>
  </si>
  <si>
    <t xml:space="preserve">DICIEMBRE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</si>
  <si>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</si>
  <si>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</si>
  <si>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</si>
  <si>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</si>
  <si>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</si>
  <si>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</si>
  <si>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</si>
  <si>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</si>
  <si>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</si>
  <si>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N°</t>
  </si>
  <si>
    <t xml:space="preserve">Fase</t>
  </si>
  <si>
    <t xml:space="preserve">Actividad</t>
  </si>
  <si>
    <t xml:space="preserve">Inicio</t>
  </si>
  <si>
    <t xml:space="preserve">Fin</t>
  </si>
  <si>
    <t xml:space="preserve">Días</t>
  </si>
  <si>
    <t xml:space="preserve">Entregable / hito</t>
  </si>
  <si>
    <t xml:space="preserve">Estado</t>
  </si>
  <si>
    <t xml:space="preserve">F1</t>
  </si>
  <si>
    <t xml:space="preserve">PLANIFICACIÓN Y TRÁMITES</t>
  </si>
  <si>
    <t xml:space="preserve">Revisión de informe aerodinámico, estado del arte y diagramas</t>
  </si>
  <si>
    <t xml:space="preserve">Documentos base listos</t>
  </si>
  <si>
    <t xml:space="preserve">Completado</t>
  </si>
  <si>
    <t xml:space="preserve">Lista de materiales y compra de faltantes (módem 4G + SIM, UBEC, Depron, sensores)</t>
  </si>
  <si>
    <t xml:space="preserve">Materiales en mano</t>
  </si>
  <si>
    <t xml:space="preserve">Pendiente</t>
  </si>
  <si>
    <t xml:space="preserve">Trámite DGAC: registro del RPAS y permiso de la zona de vuelo</t>
  </si>
  <si>
    <t xml:space="preserve">Constancia de registro</t>
  </si>
  <si>
    <t xml:space="preserve">F2</t>
  </si>
  <si>
    <t xml:space="preserve">CONSTRUCCIÓN DEL UAV</t>
  </si>
  <si>
    <t xml:space="preserve">Construcción de alas, góndola y botalones</t>
  </si>
  <si>
    <t xml:space="preserve">Estructura terminada</t>
  </si>
  <si>
    <t xml:space="preserve">Instalación de servos, motor, ESC y cableado según diagramas</t>
  </si>
  <si>
    <t xml:space="preserve">Aviónica instalada</t>
  </si>
  <si>
    <t xml:space="preserve">Distribución de energía: UBEC, regulador 5 V y masa común</t>
  </si>
  <si>
    <t xml:space="preserve">Energía probada</t>
  </si>
  <si>
    <t xml:space="preserve">Centrado (CG) y prueba de superficies en tierra</t>
  </si>
  <si>
    <t xml:space="preserve">Hito: UAV armado</t>
  </si>
  <si>
    <t xml:space="preserve">F3</t>
  </si>
  <si>
    <t xml:space="preserve">ELECTRÓNICA Y SOFTWARE</t>
  </si>
  <si>
    <t xml:space="preserve">Pruebas de banco del Pico: servos, ESC, MPU6050 y failsafe</t>
  </si>
  <si>
    <t xml:space="preserve">main1.py validado</t>
  </si>
  <si>
    <t xml:space="preserve">Orange Pi + módem 4G + Tailscale; medir latencia</t>
  </si>
  <si>
    <t xml:space="preserve">Enlace 4G operativo</t>
  </si>
  <si>
    <t xml:space="preserve">Mejoras del código: armado del motor, ROLL_NEUTRO, telemetría de retorno</t>
  </si>
  <si>
    <t xml:space="preserve">Código v2</t>
  </si>
  <si>
    <t xml:space="preserve">Integración de sensores (BME280, MQ con divisor) y registro de datos</t>
  </si>
  <si>
    <t xml:space="preserve">Sensores funcionando</t>
  </si>
  <si>
    <t xml:space="preserve">Prueba integrada en tierra: enlace completo y corte de red</t>
  </si>
  <si>
    <t xml:space="preserve">Hito: enlace 4G validado</t>
  </si>
  <si>
    <t xml:space="preserve">F4</t>
  </si>
  <si>
    <t xml:space="preserve">PRUEBAS DE VUELO</t>
  </si>
  <si>
    <t xml:space="preserve">Pruebas de planeo (lanzamiento a mano sin motor)</t>
  </si>
  <si>
    <t xml:space="preserve">Planeo estable</t>
  </si>
  <si>
    <t xml:space="preserve">Primeros vuelos en línea de vista a baja altura</t>
  </si>
  <si>
    <t xml:space="preserve">Hito: primeros vuelos</t>
  </si>
  <si>
    <t xml:space="preserve">Ajuste de ganancias PD, trims y límites</t>
  </si>
  <si>
    <t xml:space="preserve">Parámetros finales</t>
  </si>
  <si>
    <t xml:space="preserve">Vuelos de misión con sensores y registro de datos</t>
  </si>
  <si>
    <t xml:space="preserve">Hito: datos completos</t>
  </si>
  <si>
    <t xml:space="preserve">Reserva para reparaciones y vuelos repetidos</t>
  </si>
  <si>
    <t xml:space="preserve">Margen de seguridad</t>
  </si>
  <si>
    <t xml:space="preserve">F5</t>
  </si>
  <si>
    <t xml:space="preserve">ANÁLISIS Y TESIS</t>
  </si>
  <si>
    <t xml:space="preserve">Redacción de capítulos de implementación y resultados</t>
  </si>
  <si>
    <t xml:space="preserve">Borrador de tesis</t>
  </si>
  <si>
    <t xml:space="preserve">Procesamiento y análisis de datos (latencia, failsafe, sensores)</t>
  </si>
  <si>
    <t xml:space="preserve">Resultados</t>
  </si>
  <si>
    <t xml:space="preserve">Revisión con el asesor y correcciones</t>
  </si>
  <si>
    <t xml:space="preserve">Tesis corregida</t>
  </si>
  <si>
    <t xml:space="preserve">Preparación de la sustentación (diapositivas y video)</t>
  </si>
  <si>
    <t xml:space="preserve">Hito: entrega final</t>
  </si>
  <si>
    <t xml:space="preserve">Duración total del proyecto (días calendario)</t>
  </si>
  <si>
    <t xml:space="preserve">Actividades completadas</t>
  </si>
  <si>
    <t xml:space="preserve">Leyenda del Gantt</t>
  </si>
  <si>
    <t xml:space="preserve">Planificación y trámites</t>
  </si>
  <si>
    <t xml:space="preserve">Construcción del UAV</t>
  </si>
  <si>
    <t xml:space="preserve">Electrónica y software</t>
  </si>
  <si>
    <t xml:space="preserve">Pruebas de vuelo</t>
  </si>
  <si>
    <t xml:space="preserve">Análisis y tesis</t>
  </si>
  <si>
    <t xml:space="preserve">Actividad completada</t>
  </si>
  <si>
    <t xml:space="preserve">Hito (día siguiente al fin)</t>
  </si>
  <si>
    <t xml:space="preserve">Fin de semana</t>
  </si>
  <si>
    <t xml:space="preserve">Feriado</t>
  </si>
  <si>
    <t xml:space="preserve">Hitos del proyecto</t>
  </si>
  <si>
    <t xml:space="preserve">Hito</t>
  </si>
  <si>
    <t xml:space="preserve">Fecha</t>
  </si>
  <si>
    <t xml:space="preserve">Actividad que lo cierra</t>
  </si>
  <si>
    <t xml:space="preserve">UAV armado</t>
  </si>
  <si>
    <t xml:space="preserve">Enlace 4G validado</t>
  </si>
  <si>
    <t xml:space="preserve">Primeros vuelos</t>
  </si>
  <si>
    <t xml:space="preserve">Datos completos</t>
  </si>
  <si>
    <t xml:space="preserve">Entrega final</t>
  </si>
  <si>
    <t xml:space="preserve">Fechas y estados enlazados a la hoja Cronograma (texto verde).</t>
  </si>
  <si>
    <t xml:space="preserve">Feriado nacional (Perú)</t>
  </si>
  <si>
    <t xml:space="preserve">Todos los Santos</t>
  </si>
  <si>
    <t xml:space="preserve">Inmaculada Concepción</t>
  </si>
  <si>
    <t xml:space="preserve">Batalla de Ayacucho</t>
  </si>
  <si>
    <t xml:space="preserve">Fuente: calendario oficial de feriados 2026 (El Comercio / gob.pe). Puede agregar días no laborables en A2:A20.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</si>
</sst>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"/>
    <numFmt numFmtId="166" formatCode="dd/mm/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F172A"/>
      <name val="Arial"/>
      <family val="0"/>
      <charset val="1"/>
    </font>
    <font>
      <sz val="10"/>
      <color rgb="FF475569"/>
      <name val="Arial"/>
      <family val="0"/>
      <charset val="1"/>
    </font>
    <font>
      <i val="true"/>
      <sz val="10"/>
      <color rgb="FF92400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7"/>
      <color rgb="FF475569"/>
      <name val="Arial"/>
      <family val="0"/>
      <charset val="1"/>
    </font>
    <font>
      <sz val="10"/>
      <color rgb="FF0F172A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854D0E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475569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EF3C7"/>
        <bgColor rgb="FFFEF9C3"/>
      </patternFill>
    </fill>
    <fill>
      <patternFill patternType="solid">
        <fgColor rgb="FF0F172A"/>
        <bgColor rgb="FF000000"/>
      </patternFill>
    </fill>
    <fill>
      <patternFill patternType="solid">
        <fgColor rgb="FFE2E8F0"/>
        <bgColor rgb="FFDBEAFE"/>
      </patternFill>
    </fill>
    <fill>
      <patternFill patternType="solid">
        <fgColor rgb="FF334155"/>
        <bgColor rgb="FF475569"/>
      </patternFill>
    </fill>
    <fill>
      <patternFill patternType="solid">
        <fgColor rgb="FF475569"/>
        <bgColor rgb="FF334155"/>
      </patternFill>
    </fill>
    <fill>
      <patternFill patternType="solid">
        <fgColor rgb="FFFEF9C3"/>
        <bgColor rgb="FFFEF3C7"/>
      </patternFill>
    </fill>
    <fill>
      <patternFill patternType="solid">
        <fgColor rgb="FFC2410C"/>
        <bgColor rgb="FF92400E"/>
      </patternFill>
    </fill>
    <fill>
      <patternFill patternType="solid">
        <fgColor rgb="FF0F766E"/>
        <bgColor rgb="FF008080"/>
      </patternFill>
    </fill>
    <fill>
      <patternFill patternType="solid">
        <fgColor rgb="FF6D28D9"/>
        <bgColor rgb="FF800080"/>
      </patternFill>
    </fill>
    <fill>
      <patternFill patternType="solid">
        <fgColor rgb="FF1D4ED8"/>
        <bgColor rgb="FF3366FF"/>
      </patternFill>
    </fill>
    <fill>
      <patternFill patternType="solid">
        <fgColor rgb="FF16A34A"/>
        <bgColor rgb="FF008080"/>
      </patternFill>
    </fill>
    <fill>
      <patternFill patternType="solid">
        <fgColor rgb="FFFACC15"/>
        <bgColor rgb="FFFFFF00"/>
      </patternFill>
    </fill>
    <fill>
      <patternFill patternType="solid">
        <fgColor rgb="FFF1F5F9"/>
        <bgColor rgb="FFEDE9FE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94A3B8"/>
      </left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/>
      <bottom style="hair">
        <color rgb="FFE2E8F0"/>
      </bottom>
      <diagonal/>
    </border>
    <border diagonalUp="false" diagonalDown="false">
      <left/>
      <right/>
      <top/>
      <bottom style="hair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FACC15"/>
        </patternFill>
      </fill>
    </dxf>
    <dxf>
      <fill>
        <patternFill>
          <bgColor rgb="FF16A34A"/>
        </patternFill>
      </fill>
    </dxf>
    <dxf>
      <fill>
        <patternFill>
          <bgColor rgb="FF475569"/>
        </patternFill>
      </fill>
    </dxf>
    <dxf>
      <fill>
        <patternFill>
          <bgColor rgb="FFE2E8F0"/>
        </patternFill>
      </fill>
    </dxf>
    <dxf>
      <fill>
        <patternFill>
          <bgColor rgb="FFC2410C"/>
        </patternFill>
      </fill>
    </dxf>
    <dxf>
      <fill>
        <patternFill>
          <bgColor rgb="FFFFEDD5"/>
        </patternFill>
      </fill>
    </dxf>
    <dxf>
      <fill>
        <patternFill>
          <bgColor rgb="FF0F766E"/>
        </patternFill>
      </fill>
    </dxf>
    <dxf>
      <fill>
        <patternFill>
          <bgColor rgb="FFCCFBF1"/>
        </patternFill>
      </fill>
    </dxf>
    <dxf>
      <fill>
        <patternFill>
          <bgColor rgb="FF6D28D9"/>
        </patternFill>
      </fill>
    </dxf>
    <dxf>
      <fill>
        <patternFill>
          <bgColor rgb="FFEDE9FE"/>
        </patternFill>
      </fill>
    </dxf>
    <dxf>
      <fill>
        <patternFill>
          <bgColor rgb="FF1D4ED8"/>
        </patternFill>
      </fill>
    </dxf>
    <dxf>
      <fill>
        <patternFill>
          <bgColor rgb="FFDBEAFE"/>
        </patternFill>
      </fill>
    </dxf>
    <dxf>
      <fill>
        <patternFill>
          <bgColor rgb="FFFEF3C7"/>
        </patternFill>
      </fill>
    </dxf>
    <dxf>
      <fill>
        <patternFill>
          <bgColor rgb="FFF1F5F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EDE9FE"/>
      <rgbColor rgb="FF808080"/>
      <rgbColor rgb="FF9999FF"/>
      <rgbColor rgb="FF854D0E"/>
      <rgbColor rgb="FFFEF9C3"/>
      <rgbColor rgb="FFCCFBF1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2E8F0"/>
      <rgbColor rgb="FFFEF3C7"/>
      <rgbColor rgb="FFF1F5F9"/>
      <rgbColor rgb="FFFF99CC"/>
      <rgbColor rgb="FFCC99FF"/>
      <rgbColor rgb="FFFFEDD5"/>
      <rgbColor rgb="FF3366FF"/>
      <rgbColor rgb="FF33CCCC"/>
      <rgbColor rgb="FF99CC00"/>
      <rgbColor rgb="FFFACC15"/>
      <rgbColor rgb="FFFF9900"/>
      <rgbColor rgb="FFFF6600"/>
      <rgbColor rgb="FF475569"/>
      <rgbColor rgb="FF94A3B8"/>
      <rgbColor rgb="FF003366"/>
      <rgbColor rgb="FF16A34A"/>
      <rgbColor rgb="FF0F172A"/>
      <rgbColor rgb="FF333300"/>
      <rgbColor rgb="FF92400E"/>
      <rgbColor rgb="FFC2410C"/>
      <rgbColor rgb="FF6D28D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Q4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6" topLeftCell="I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"/>
    <col collapsed="false" customWidth="true" hidden="false" outlineLevel="0" max="3" min="3" style="0" width="52"/>
    <col collapsed="false" customWidth="true" hidden="false" outlineLevel="0" max="5" min="4" style="0" width="11"/>
    <col collapsed="false" customWidth="true" hidden="false" outlineLevel="0" max="6" min="6" style="0" width="6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69" min="9" style="0" width="2.7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I4" s="4" t="s">
        <v>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 t="s">
        <v>4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 t="s">
        <v>5</v>
      </c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</row>
    <row r="5" customFormat="false" ht="15" hidden="false" customHeight="false" outlineLevel="0" collapsed="false">
      <c r="I5" s="5" t="s">
        <v>6</v>
      </c>
      <c r="J5" s="5"/>
      <c r="K5" s="5"/>
      <c r="L5" s="5"/>
      <c r="M5" s="5"/>
      <c r="N5" s="5"/>
      <c r="O5" s="5"/>
      <c r="P5" s="5" t="s">
        <v>7</v>
      </c>
      <c r="Q5" s="5"/>
      <c r="R5" s="5"/>
      <c r="S5" s="5"/>
      <c r="T5" s="5"/>
      <c r="U5" s="5"/>
      <c r="V5" s="5"/>
      <c r="W5" s="5" t="s">
        <v>8</v>
      </c>
      <c r="X5" s="5"/>
      <c r="Y5" s="5"/>
      <c r="Z5" s="5"/>
      <c r="AA5" s="5"/>
      <c r="AB5" s="5"/>
      <c r="AC5" s="5"/>
      <c r="AD5" s="5" t="s">
        <v>9</v>
      </c>
      <c r="AE5" s="5"/>
      <c r="AF5" s="5"/>
      <c r="AG5" s="5"/>
      <c r="AH5" s="5"/>
      <c r="AI5" s="5"/>
      <c r="AJ5" s="5"/>
      <c r="AK5" s="5" t="s">
        <v>10</v>
      </c>
      <c r="AL5" s="5"/>
      <c r="AM5" s="5"/>
      <c r="AN5" s="5"/>
      <c r="AO5" s="5"/>
      <c r="AP5" s="5"/>
      <c r="AQ5" s="5"/>
      <c r="AR5" s="5" t="s">
        <v>11</v>
      </c>
      <c r="AS5" s="5"/>
      <c r="AT5" s="5"/>
      <c r="AU5" s="5"/>
      <c r="AV5" s="5"/>
      <c r="AW5" s="5"/>
      <c r="AX5" s="5"/>
      <c r="AY5" s="5" t="s">
        <v>12</v>
      </c>
      <c r="AZ5" s="5"/>
      <c r="BA5" s="5"/>
      <c r="BB5" s="5"/>
      <c r="BC5" s="5"/>
      <c r="BD5" s="5"/>
      <c r="BE5" s="5"/>
      <c r="BF5" s="5" t="s">
        <v>13</v>
      </c>
      <c r="BG5" s="5"/>
      <c r="BH5" s="5"/>
      <c r="BI5" s="5"/>
      <c r="BJ5" s="5"/>
      <c r="BK5" s="5"/>
      <c r="BL5" s="5"/>
      <c r="BM5" s="5" t="s">
        <v>14</v>
      </c>
      <c r="BN5" s="5"/>
      <c r="BO5" s="5"/>
      <c r="BP5" s="5"/>
      <c r="BQ5" s="5"/>
    </row>
    <row r="6" customFormat="false" ht="30" hidden="false" customHeight="true" outlineLevel="0" collapsed="false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7" t="n">
        <f aca="false">DATE(2026,10,16)</f>
        <v>46311</v>
      </c>
      <c r="J6" s="7" t="n">
        <f aca="false">I6+1</f>
        <v>46312</v>
      </c>
      <c r="K6" s="7" t="n">
        <f aca="false">J6+1</f>
        <v>46313</v>
      </c>
      <c r="L6" s="7" t="n">
        <f aca="false">K6+1</f>
        <v>46314</v>
      </c>
      <c r="M6" s="7" t="n">
        <f aca="false">L6+1</f>
        <v>46315</v>
      </c>
      <c r="N6" s="7" t="n">
        <f aca="false">M6+1</f>
        <v>46316</v>
      </c>
      <c r="O6" s="7" t="n">
        <f aca="false">N6+1</f>
        <v>46317</v>
      </c>
      <c r="P6" s="7" t="n">
        <f aca="false">O6+1</f>
        <v>46318</v>
      </c>
      <c r="Q6" s="7" t="n">
        <f aca="false">P6+1</f>
        <v>46319</v>
      </c>
      <c r="R6" s="7" t="n">
        <f aca="false">Q6+1</f>
        <v>46320</v>
      </c>
      <c r="S6" s="7" t="n">
        <f aca="false">R6+1</f>
        <v>46321</v>
      </c>
      <c r="T6" s="7" t="n">
        <f aca="false">S6+1</f>
        <v>46322</v>
      </c>
      <c r="U6" s="7" t="n">
        <f aca="false">T6+1</f>
        <v>46323</v>
      </c>
      <c r="V6" s="7" t="n">
        <f aca="false">U6+1</f>
        <v>46324</v>
      </c>
      <c r="W6" s="7" t="n">
        <f aca="false">V6+1</f>
        <v>46325</v>
      </c>
      <c r="X6" s="7" t="n">
        <f aca="false">W6+1</f>
        <v>46326</v>
      </c>
      <c r="Y6" s="7" t="n">
        <f aca="false">X6+1</f>
        <v>46327</v>
      </c>
      <c r="Z6" s="7" t="n">
        <f aca="false">Y6+1</f>
        <v>46328</v>
      </c>
      <c r="AA6" s="7" t="n">
        <f aca="false">Z6+1</f>
        <v>46329</v>
      </c>
      <c r="AB6" s="7" t="n">
        <f aca="false">AA6+1</f>
        <v>46330</v>
      </c>
      <c r="AC6" s="7" t="n">
        <f aca="false">AB6+1</f>
        <v>46331</v>
      </c>
      <c r="AD6" s="7" t="n">
        <f aca="false">AC6+1</f>
        <v>46332</v>
      </c>
      <c r="AE6" s="7" t="n">
        <f aca="false">AD6+1</f>
        <v>46333</v>
      </c>
      <c r="AF6" s="7" t="n">
        <f aca="false">AE6+1</f>
        <v>46334</v>
      </c>
      <c r="AG6" s="7" t="n">
        <f aca="false">AF6+1</f>
        <v>46335</v>
      </c>
      <c r="AH6" s="7" t="n">
        <f aca="false">AG6+1</f>
        <v>46336</v>
      </c>
      <c r="AI6" s="7" t="n">
        <f aca="false">AH6+1</f>
        <v>46337</v>
      </c>
      <c r="AJ6" s="7" t="n">
        <f aca="false">AI6+1</f>
        <v>46338</v>
      </c>
      <c r="AK6" s="7" t="n">
        <f aca="false">AJ6+1</f>
        <v>46339</v>
      </c>
      <c r="AL6" s="7" t="n">
        <f aca="false">AK6+1</f>
        <v>46340</v>
      </c>
      <c r="AM6" s="7" t="n">
        <f aca="false">AL6+1</f>
        <v>46341</v>
      </c>
      <c r="AN6" s="7" t="n">
        <f aca="false">AM6+1</f>
        <v>46342</v>
      </c>
      <c r="AO6" s="7" t="n">
        <f aca="false">AN6+1</f>
        <v>46343</v>
      </c>
      <c r="AP6" s="7" t="n">
        <f aca="false">AO6+1</f>
        <v>46344</v>
      </c>
      <c r="AQ6" s="7" t="n">
        <f aca="false">AP6+1</f>
        <v>46345</v>
      </c>
      <c r="AR6" s="7" t="n">
        <f aca="false">AQ6+1</f>
        <v>46346</v>
      </c>
      <c r="AS6" s="7" t="n">
        <f aca="false">AR6+1</f>
        <v>46347</v>
      </c>
      <c r="AT6" s="7" t="n">
        <f aca="false">AS6+1</f>
        <v>46348</v>
      </c>
      <c r="AU6" s="7" t="n">
        <f aca="false">AT6+1</f>
        <v>46349</v>
      </c>
      <c r="AV6" s="7" t="n">
        <f aca="false">AU6+1</f>
        <v>46350</v>
      </c>
      <c r="AW6" s="7" t="n">
        <f aca="false">AV6+1</f>
        <v>46351</v>
      </c>
      <c r="AX6" s="7" t="n">
        <f aca="false">AW6+1</f>
        <v>46352</v>
      </c>
      <c r="AY6" s="7" t="n">
        <f aca="false">AX6+1</f>
        <v>46353</v>
      </c>
      <c r="AZ6" s="7" t="n">
        <f aca="false">AY6+1</f>
        <v>46354</v>
      </c>
      <c r="BA6" s="7" t="n">
        <f aca="false">AZ6+1</f>
        <v>46355</v>
      </c>
      <c r="BB6" s="7" t="n">
        <f aca="false">BA6+1</f>
        <v>46356</v>
      </c>
      <c r="BC6" s="7" t="n">
        <f aca="false">BB6+1</f>
        <v>46357</v>
      </c>
      <c r="BD6" s="7" t="n">
        <f aca="false">BC6+1</f>
        <v>46358</v>
      </c>
      <c r="BE6" s="7" t="n">
        <f aca="false">BD6+1</f>
        <v>46359</v>
      </c>
      <c r="BF6" s="7" t="n">
        <f aca="false">BE6+1</f>
        <v>46360</v>
      </c>
      <c r="BG6" s="7" t="n">
        <f aca="false">BF6+1</f>
        <v>46361</v>
      </c>
      <c r="BH6" s="7" t="n">
        <f aca="false">BG6+1</f>
        <v>46362</v>
      </c>
      <c r="BI6" s="7" t="n">
        <f aca="false">BH6+1</f>
        <v>46363</v>
      </c>
      <c r="BJ6" s="7" t="n">
        <f aca="false">BI6+1</f>
        <v>46364</v>
      </c>
      <c r="BK6" s="7" t="n">
        <f aca="false">BJ6+1</f>
        <v>46365</v>
      </c>
      <c r="BL6" s="7" t="n">
        <f aca="false">BK6+1</f>
        <v>46366</v>
      </c>
      <c r="BM6" s="7" t="n">
        <f aca="false">BL6+1</f>
        <v>46367</v>
      </c>
      <c r="BN6" s="7" t="n">
        <f aca="false">BM6+1</f>
        <v>46368</v>
      </c>
      <c r="BO6" s="7" t="n">
        <f aca="false">BN6+1</f>
        <v>46369</v>
      </c>
      <c r="BP6" s="7" t="n">
        <f aca="false">BO6+1</f>
        <v>46370</v>
      </c>
      <c r="BQ6" s="7" t="n">
        <f aca="false">BP6+1</f>
        <v>46371</v>
      </c>
    </row>
    <row r="7" customFormat="false" ht="19.5" hidden="false" customHeight="true" outlineLevel="0" collapsed="false">
      <c r="A7" s="8" t="s">
        <v>23</v>
      </c>
      <c r="B7" s="8"/>
      <c r="C7" s="9" t="s">
        <v>24</v>
      </c>
      <c r="D7" s="10" t="n">
        <f aca="false">MIN(D8:D10)</f>
        <v>46311</v>
      </c>
      <c r="E7" s="10" t="n">
        <f aca="false">MAX(E8:E10)</f>
        <v>46339</v>
      </c>
      <c r="F7" s="8" t="n">
        <f aca="false">E7-D7+1</f>
        <v>29</v>
      </c>
      <c r="G7" s="9" t="str">
        <f aca="false">COUNTIF(H8:H10,"Completado")&amp;" de 3 completadas"</f>
        <v>1 de 3 completadas</v>
      </c>
      <c r="H7" s="8"/>
      <c r="I7" s="11"/>
      <c r="J7" s="12"/>
      <c r="K7" s="12"/>
      <c r="L7" s="12"/>
      <c r="M7" s="12"/>
      <c r="N7" s="12"/>
      <c r="O7" s="12"/>
      <c r="P7" s="11"/>
      <c r="Q7" s="12"/>
      <c r="R7" s="12"/>
      <c r="S7" s="12"/>
      <c r="T7" s="12"/>
      <c r="U7" s="12"/>
      <c r="V7" s="12"/>
      <c r="W7" s="11"/>
      <c r="X7" s="12"/>
      <c r="Y7" s="12"/>
      <c r="Z7" s="12"/>
      <c r="AA7" s="12"/>
      <c r="AB7" s="12"/>
      <c r="AC7" s="12"/>
      <c r="AD7" s="11"/>
      <c r="AE7" s="12"/>
      <c r="AF7" s="12"/>
      <c r="AG7" s="12"/>
      <c r="AH7" s="12"/>
      <c r="AI7" s="12"/>
      <c r="AJ7" s="12"/>
      <c r="AK7" s="11"/>
      <c r="AL7" s="12"/>
      <c r="AM7" s="12"/>
      <c r="AN7" s="12"/>
      <c r="AO7" s="12"/>
      <c r="AP7" s="12"/>
      <c r="AQ7" s="12"/>
      <c r="AR7" s="11"/>
      <c r="AS7" s="12"/>
      <c r="AT7" s="12"/>
      <c r="AU7" s="12"/>
      <c r="AV7" s="12"/>
      <c r="AW7" s="12"/>
      <c r="AX7" s="12"/>
      <c r="AY7" s="11"/>
      <c r="AZ7" s="12"/>
      <c r="BA7" s="12"/>
      <c r="BB7" s="12"/>
      <c r="BC7" s="12"/>
      <c r="BD7" s="12"/>
      <c r="BE7" s="12"/>
      <c r="BF7" s="11"/>
      <c r="BG7" s="12"/>
      <c r="BH7" s="12"/>
      <c r="BI7" s="12"/>
      <c r="BJ7" s="12"/>
      <c r="BK7" s="12"/>
      <c r="BL7" s="12"/>
      <c r="BM7" s="11"/>
      <c r="BN7" s="12"/>
      <c r="BO7" s="12"/>
      <c r="BP7" s="12"/>
      <c r="BQ7" s="12"/>
    </row>
    <row r="8" customFormat="false" ht="27" hidden="false" customHeight="true" outlineLevel="0" collapsed="false">
      <c r="A8" s="13" t="n">
        <v>1</v>
      </c>
      <c r="B8" s="13" t="s">
        <v>23</v>
      </c>
      <c r="C8" s="14" t="s">
        <v>25</v>
      </c>
      <c r="D8" s="15" t="n">
        <v>46311</v>
      </c>
      <c r="E8" s="15" t="n">
        <v>46313</v>
      </c>
      <c r="F8" s="13" t="n">
        <f aca="false">E8-D8+1</f>
        <v>3</v>
      </c>
      <c r="G8" s="14" t="s">
        <v>26</v>
      </c>
      <c r="H8" s="16" t="s">
        <v>27</v>
      </c>
      <c r="I8" s="11"/>
      <c r="J8" s="12"/>
      <c r="K8" s="12"/>
      <c r="L8" s="12"/>
      <c r="M8" s="12"/>
      <c r="N8" s="12"/>
      <c r="O8" s="12"/>
      <c r="P8" s="11"/>
      <c r="Q8" s="12"/>
      <c r="R8" s="12"/>
      <c r="S8" s="12"/>
      <c r="T8" s="12"/>
      <c r="U8" s="12"/>
      <c r="V8" s="12"/>
      <c r="W8" s="11"/>
      <c r="X8" s="12"/>
      <c r="Y8" s="12"/>
      <c r="Z8" s="12"/>
      <c r="AA8" s="12"/>
      <c r="AB8" s="12"/>
      <c r="AC8" s="12"/>
      <c r="AD8" s="11"/>
      <c r="AE8" s="12"/>
      <c r="AF8" s="12"/>
      <c r="AG8" s="12"/>
      <c r="AH8" s="12"/>
      <c r="AI8" s="12"/>
      <c r="AJ8" s="12"/>
      <c r="AK8" s="11"/>
      <c r="AL8" s="12"/>
      <c r="AM8" s="12"/>
      <c r="AN8" s="12"/>
      <c r="AO8" s="12"/>
      <c r="AP8" s="12"/>
      <c r="AQ8" s="12"/>
      <c r="AR8" s="11"/>
      <c r="AS8" s="12"/>
      <c r="AT8" s="12"/>
      <c r="AU8" s="12"/>
      <c r="AV8" s="12"/>
      <c r="AW8" s="12"/>
      <c r="AX8" s="12"/>
      <c r="AY8" s="11"/>
      <c r="AZ8" s="12"/>
      <c r="BA8" s="12"/>
      <c r="BB8" s="12"/>
      <c r="BC8" s="12"/>
      <c r="BD8" s="12"/>
      <c r="BE8" s="12"/>
      <c r="BF8" s="11"/>
      <c r="BG8" s="12"/>
      <c r="BH8" s="12"/>
      <c r="BI8" s="12"/>
      <c r="BJ8" s="12"/>
      <c r="BK8" s="12"/>
      <c r="BL8" s="12"/>
      <c r="BM8" s="11"/>
      <c r="BN8" s="12"/>
      <c r="BO8" s="12"/>
      <c r="BP8" s="12"/>
      <c r="BQ8" s="12"/>
    </row>
    <row r="9" customFormat="false" ht="27" hidden="false" customHeight="true" outlineLevel="0" collapsed="false">
      <c r="A9" s="13" t="n">
        <v>2</v>
      </c>
      <c r="B9" s="13" t="s">
        <v>23</v>
      </c>
      <c r="C9" s="14" t="s">
        <v>28</v>
      </c>
      <c r="D9" s="15" t="n">
        <v>46314</v>
      </c>
      <c r="E9" s="15" t="n">
        <v>46321</v>
      </c>
      <c r="F9" s="13" t="n">
        <f aca="false">E9-D9+1</f>
        <v>8</v>
      </c>
      <c r="G9" s="14" t="s">
        <v>29</v>
      </c>
      <c r="H9" s="16" t="s">
        <v>30</v>
      </c>
      <c r="I9" s="11"/>
      <c r="J9" s="12"/>
      <c r="K9" s="12"/>
      <c r="L9" s="12"/>
      <c r="M9" s="12"/>
      <c r="N9" s="12"/>
      <c r="O9" s="12"/>
      <c r="P9" s="11"/>
      <c r="Q9" s="12"/>
      <c r="R9" s="12"/>
      <c r="S9" s="12"/>
      <c r="T9" s="12"/>
      <c r="U9" s="12"/>
      <c r="V9" s="12"/>
      <c r="W9" s="11"/>
      <c r="X9" s="12"/>
      <c r="Y9" s="12"/>
      <c r="Z9" s="12"/>
      <c r="AA9" s="12"/>
      <c r="AB9" s="12"/>
      <c r="AC9" s="12"/>
      <c r="AD9" s="11"/>
      <c r="AE9" s="12"/>
      <c r="AF9" s="12"/>
      <c r="AG9" s="12"/>
      <c r="AH9" s="12"/>
      <c r="AI9" s="12"/>
      <c r="AJ9" s="12"/>
      <c r="AK9" s="11"/>
      <c r="AL9" s="12"/>
      <c r="AM9" s="12"/>
      <c r="AN9" s="12"/>
      <c r="AO9" s="12"/>
      <c r="AP9" s="12"/>
      <c r="AQ9" s="12"/>
      <c r="AR9" s="11"/>
      <c r="AS9" s="12"/>
      <c r="AT9" s="12"/>
      <c r="AU9" s="12"/>
      <c r="AV9" s="12"/>
      <c r="AW9" s="12"/>
      <c r="AX9" s="12"/>
      <c r="AY9" s="11"/>
      <c r="AZ9" s="12"/>
      <c r="BA9" s="12"/>
      <c r="BB9" s="12"/>
      <c r="BC9" s="12"/>
      <c r="BD9" s="12"/>
      <c r="BE9" s="12"/>
      <c r="BF9" s="11"/>
      <c r="BG9" s="12"/>
      <c r="BH9" s="12"/>
      <c r="BI9" s="12"/>
      <c r="BJ9" s="12"/>
      <c r="BK9" s="12"/>
      <c r="BL9" s="12"/>
      <c r="BM9" s="11"/>
      <c r="BN9" s="12"/>
      <c r="BO9" s="12"/>
      <c r="BP9" s="12"/>
      <c r="BQ9" s="12"/>
    </row>
    <row r="10" customFormat="false" ht="27" hidden="false" customHeight="true" outlineLevel="0" collapsed="false">
      <c r="A10" s="13" t="n">
        <v>3</v>
      </c>
      <c r="B10" s="13" t="s">
        <v>23</v>
      </c>
      <c r="C10" s="14" t="s">
        <v>31</v>
      </c>
      <c r="D10" s="15" t="n">
        <v>46314</v>
      </c>
      <c r="E10" s="15" t="n">
        <v>46339</v>
      </c>
      <c r="F10" s="13" t="n">
        <f aca="false">E10-D10+1</f>
        <v>26</v>
      </c>
      <c r="G10" s="14" t="s">
        <v>32</v>
      </c>
      <c r="H10" s="16" t="s">
        <v>30</v>
      </c>
      <c r="I10" s="11"/>
      <c r="J10" s="12"/>
      <c r="K10" s="12"/>
      <c r="L10" s="12"/>
      <c r="M10" s="12"/>
      <c r="N10" s="12"/>
      <c r="O10" s="12"/>
      <c r="P10" s="11"/>
      <c r="Q10" s="12"/>
      <c r="R10" s="12"/>
      <c r="S10" s="12"/>
      <c r="T10" s="12"/>
      <c r="U10" s="12"/>
      <c r="V10" s="12"/>
      <c r="W10" s="11"/>
      <c r="X10" s="12"/>
      <c r="Y10" s="12"/>
      <c r="Z10" s="12"/>
      <c r="AA10" s="12"/>
      <c r="AB10" s="12"/>
      <c r="AC10" s="12"/>
      <c r="AD10" s="11"/>
      <c r="AE10" s="12"/>
      <c r="AF10" s="12"/>
      <c r="AG10" s="12"/>
      <c r="AH10" s="12"/>
      <c r="AI10" s="12"/>
      <c r="AJ10" s="12"/>
      <c r="AK10" s="11"/>
      <c r="AL10" s="12"/>
      <c r="AM10" s="12"/>
      <c r="AN10" s="12"/>
      <c r="AO10" s="12"/>
      <c r="AP10" s="12"/>
      <c r="AQ10" s="12"/>
      <c r="AR10" s="11"/>
      <c r="AS10" s="12"/>
      <c r="AT10" s="12"/>
      <c r="AU10" s="12"/>
      <c r="AV10" s="12"/>
      <c r="AW10" s="12"/>
      <c r="AX10" s="12"/>
      <c r="AY10" s="11"/>
      <c r="AZ10" s="12"/>
      <c r="BA10" s="12"/>
      <c r="BB10" s="12"/>
      <c r="BC10" s="12"/>
      <c r="BD10" s="12"/>
      <c r="BE10" s="12"/>
      <c r="BF10" s="11"/>
      <c r="BG10" s="12"/>
      <c r="BH10" s="12"/>
      <c r="BI10" s="12"/>
      <c r="BJ10" s="12"/>
      <c r="BK10" s="12"/>
      <c r="BL10" s="12"/>
      <c r="BM10" s="11"/>
      <c r="BN10" s="12"/>
      <c r="BO10" s="12"/>
      <c r="BP10" s="12"/>
      <c r="BQ10" s="12"/>
    </row>
    <row r="11" customFormat="false" ht="19.5" hidden="false" customHeight="true" outlineLevel="0" collapsed="false">
      <c r="A11" s="17" t="s">
        <v>33</v>
      </c>
      <c r="B11" s="17"/>
      <c r="C11" s="18" t="s">
        <v>34</v>
      </c>
      <c r="D11" s="19" t="n">
        <f aca="false">MIN(D12:D15)</f>
        <v>46316</v>
      </c>
      <c r="E11" s="19" t="n">
        <f aca="false">MAX(E12:E15)</f>
        <v>46334</v>
      </c>
      <c r="F11" s="17" t="n">
        <f aca="false">E11-D11+1</f>
        <v>19</v>
      </c>
      <c r="G11" s="18" t="str">
        <f aca="false">COUNTIF(H12:H15,"Completado")&amp;" de 4 completadas"</f>
        <v>0 de 4 completadas</v>
      </c>
      <c r="H11" s="17"/>
      <c r="I11" s="11"/>
      <c r="J11" s="12"/>
      <c r="K11" s="12"/>
      <c r="L11" s="12"/>
      <c r="M11" s="12"/>
      <c r="N11" s="12"/>
      <c r="O11" s="12"/>
      <c r="P11" s="11"/>
      <c r="Q11" s="12"/>
      <c r="R11" s="12"/>
      <c r="S11" s="12"/>
      <c r="T11" s="12"/>
      <c r="U11" s="12"/>
      <c r="V11" s="12"/>
      <c r="W11" s="11"/>
      <c r="X11" s="12"/>
      <c r="Y11" s="12"/>
      <c r="Z11" s="12"/>
      <c r="AA11" s="12"/>
      <c r="AB11" s="12"/>
      <c r="AC11" s="12"/>
      <c r="AD11" s="11"/>
      <c r="AE11" s="12"/>
      <c r="AF11" s="12"/>
      <c r="AG11" s="12"/>
      <c r="AH11" s="12"/>
      <c r="AI11" s="12"/>
      <c r="AJ11" s="12"/>
      <c r="AK11" s="11"/>
      <c r="AL11" s="12"/>
      <c r="AM11" s="12"/>
      <c r="AN11" s="12"/>
      <c r="AO11" s="12"/>
      <c r="AP11" s="12"/>
      <c r="AQ11" s="12"/>
      <c r="AR11" s="11"/>
      <c r="AS11" s="12"/>
      <c r="AT11" s="12"/>
      <c r="AU11" s="12"/>
      <c r="AV11" s="12"/>
      <c r="AW11" s="12"/>
      <c r="AX11" s="12"/>
      <c r="AY11" s="11"/>
      <c r="AZ11" s="12"/>
      <c r="BA11" s="12"/>
      <c r="BB11" s="12"/>
      <c r="BC11" s="12"/>
      <c r="BD11" s="12"/>
      <c r="BE11" s="12"/>
      <c r="BF11" s="11"/>
      <c r="BG11" s="12"/>
      <c r="BH11" s="12"/>
      <c r="BI11" s="12"/>
      <c r="BJ11" s="12"/>
      <c r="BK11" s="12"/>
      <c r="BL11" s="12"/>
      <c r="BM11" s="11"/>
      <c r="BN11" s="12"/>
      <c r="BO11" s="12"/>
      <c r="BP11" s="12"/>
      <c r="BQ11" s="12"/>
    </row>
    <row r="12" customFormat="false" ht="27" hidden="false" customHeight="true" outlineLevel="0" collapsed="false">
      <c r="A12" s="13" t="n">
        <v>4</v>
      </c>
      <c r="B12" s="13" t="s">
        <v>33</v>
      </c>
      <c r="C12" s="14" t="s">
        <v>35</v>
      </c>
      <c r="D12" s="15" t="n">
        <v>46316</v>
      </c>
      <c r="E12" s="15" t="n">
        <v>46327</v>
      </c>
      <c r="F12" s="13" t="n">
        <f aca="false">E12-D12+1</f>
        <v>12</v>
      </c>
      <c r="G12" s="14" t="s">
        <v>36</v>
      </c>
      <c r="H12" s="16" t="s">
        <v>30</v>
      </c>
      <c r="I12" s="11"/>
      <c r="J12" s="12"/>
      <c r="K12" s="12"/>
      <c r="L12" s="12"/>
      <c r="M12" s="12"/>
      <c r="N12" s="12"/>
      <c r="O12" s="12"/>
      <c r="P12" s="11"/>
      <c r="Q12" s="12"/>
      <c r="R12" s="12"/>
      <c r="S12" s="12"/>
      <c r="T12" s="12"/>
      <c r="U12" s="12"/>
      <c r="V12" s="12"/>
      <c r="W12" s="11"/>
      <c r="X12" s="12"/>
      <c r="Y12" s="12"/>
      <c r="Z12" s="12"/>
      <c r="AA12" s="12"/>
      <c r="AB12" s="12"/>
      <c r="AC12" s="12"/>
      <c r="AD12" s="11"/>
      <c r="AE12" s="12"/>
      <c r="AF12" s="12"/>
      <c r="AG12" s="12"/>
      <c r="AH12" s="12"/>
      <c r="AI12" s="12"/>
      <c r="AJ12" s="12"/>
      <c r="AK12" s="11"/>
      <c r="AL12" s="12"/>
      <c r="AM12" s="12"/>
      <c r="AN12" s="12"/>
      <c r="AO12" s="12"/>
      <c r="AP12" s="12"/>
      <c r="AQ12" s="12"/>
      <c r="AR12" s="11"/>
      <c r="AS12" s="12"/>
      <c r="AT12" s="12"/>
      <c r="AU12" s="12"/>
      <c r="AV12" s="12"/>
      <c r="AW12" s="12"/>
      <c r="AX12" s="12"/>
      <c r="AY12" s="11"/>
      <c r="AZ12" s="12"/>
      <c r="BA12" s="12"/>
      <c r="BB12" s="12"/>
      <c r="BC12" s="12"/>
      <c r="BD12" s="12"/>
      <c r="BE12" s="12"/>
      <c r="BF12" s="11"/>
      <c r="BG12" s="12"/>
      <c r="BH12" s="12"/>
      <c r="BI12" s="12"/>
      <c r="BJ12" s="12"/>
      <c r="BK12" s="12"/>
      <c r="BL12" s="12"/>
      <c r="BM12" s="11"/>
      <c r="BN12" s="12"/>
      <c r="BO12" s="12"/>
      <c r="BP12" s="12"/>
      <c r="BQ12" s="12"/>
    </row>
    <row r="13" customFormat="false" ht="27" hidden="false" customHeight="true" outlineLevel="0" collapsed="false">
      <c r="A13" s="13" t="n">
        <v>5</v>
      </c>
      <c r="B13" s="13" t="s">
        <v>33</v>
      </c>
      <c r="C13" s="14" t="s">
        <v>37</v>
      </c>
      <c r="D13" s="15" t="n">
        <v>46325</v>
      </c>
      <c r="E13" s="15" t="n">
        <v>46331</v>
      </c>
      <c r="F13" s="13" t="n">
        <f aca="false">E13-D13+1</f>
        <v>7</v>
      </c>
      <c r="G13" s="14" t="s">
        <v>38</v>
      </c>
      <c r="H13" s="16" t="s">
        <v>30</v>
      </c>
      <c r="I13" s="11"/>
      <c r="J13" s="12"/>
      <c r="K13" s="12"/>
      <c r="L13" s="12"/>
      <c r="M13" s="12"/>
      <c r="N13" s="12"/>
      <c r="O13" s="12"/>
      <c r="P13" s="11"/>
      <c r="Q13" s="12"/>
      <c r="R13" s="12"/>
      <c r="S13" s="12"/>
      <c r="T13" s="12"/>
      <c r="U13" s="12"/>
      <c r="V13" s="12"/>
      <c r="W13" s="11"/>
      <c r="X13" s="12"/>
      <c r="Y13" s="12"/>
      <c r="Z13" s="12"/>
      <c r="AA13" s="12"/>
      <c r="AB13" s="12"/>
      <c r="AC13" s="12"/>
      <c r="AD13" s="11"/>
      <c r="AE13" s="12"/>
      <c r="AF13" s="12"/>
      <c r="AG13" s="12"/>
      <c r="AH13" s="12"/>
      <c r="AI13" s="12"/>
      <c r="AJ13" s="12"/>
      <c r="AK13" s="11"/>
      <c r="AL13" s="12"/>
      <c r="AM13" s="12"/>
      <c r="AN13" s="12"/>
      <c r="AO13" s="12"/>
      <c r="AP13" s="12"/>
      <c r="AQ13" s="12"/>
      <c r="AR13" s="11"/>
      <c r="AS13" s="12"/>
      <c r="AT13" s="12"/>
      <c r="AU13" s="12"/>
      <c r="AV13" s="12"/>
      <c r="AW13" s="12"/>
      <c r="AX13" s="12"/>
      <c r="AY13" s="11"/>
      <c r="AZ13" s="12"/>
      <c r="BA13" s="12"/>
      <c r="BB13" s="12"/>
      <c r="BC13" s="12"/>
      <c r="BD13" s="12"/>
      <c r="BE13" s="12"/>
      <c r="BF13" s="11"/>
      <c r="BG13" s="12"/>
      <c r="BH13" s="12"/>
      <c r="BI13" s="12"/>
      <c r="BJ13" s="12"/>
      <c r="BK13" s="12"/>
      <c r="BL13" s="12"/>
      <c r="BM13" s="11"/>
      <c r="BN13" s="12"/>
      <c r="BO13" s="12"/>
      <c r="BP13" s="12"/>
      <c r="BQ13" s="12"/>
    </row>
    <row r="14" customFormat="false" ht="27" hidden="false" customHeight="true" outlineLevel="0" collapsed="false">
      <c r="A14" s="13" t="n">
        <v>6</v>
      </c>
      <c r="B14" s="13" t="s">
        <v>33</v>
      </c>
      <c r="C14" s="14" t="s">
        <v>39</v>
      </c>
      <c r="D14" s="15" t="n">
        <v>46328</v>
      </c>
      <c r="E14" s="15" t="n">
        <v>46332</v>
      </c>
      <c r="F14" s="13" t="n">
        <f aca="false">E14-D14+1</f>
        <v>5</v>
      </c>
      <c r="G14" s="14" t="s">
        <v>40</v>
      </c>
      <c r="H14" s="16" t="s">
        <v>30</v>
      </c>
      <c r="I14" s="11"/>
      <c r="J14" s="12"/>
      <c r="K14" s="12"/>
      <c r="L14" s="12"/>
      <c r="M14" s="12"/>
      <c r="N14" s="12"/>
      <c r="O14" s="12"/>
      <c r="P14" s="11"/>
      <c r="Q14" s="12"/>
      <c r="R14" s="12"/>
      <c r="S14" s="12"/>
      <c r="T14" s="12"/>
      <c r="U14" s="12"/>
      <c r="V14" s="12"/>
      <c r="W14" s="11"/>
      <c r="X14" s="12"/>
      <c r="Y14" s="12"/>
      <c r="Z14" s="12"/>
      <c r="AA14" s="12"/>
      <c r="AB14" s="12"/>
      <c r="AC14" s="12"/>
      <c r="AD14" s="11"/>
      <c r="AE14" s="12"/>
      <c r="AF14" s="12"/>
      <c r="AG14" s="12"/>
      <c r="AH14" s="12"/>
      <c r="AI14" s="12"/>
      <c r="AJ14" s="12"/>
      <c r="AK14" s="11"/>
      <c r="AL14" s="12"/>
      <c r="AM14" s="12"/>
      <c r="AN14" s="12"/>
      <c r="AO14" s="12"/>
      <c r="AP14" s="12"/>
      <c r="AQ14" s="12"/>
      <c r="AR14" s="11"/>
      <c r="AS14" s="12"/>
      <c r="AT14" s="12"/>
      <c r="AU14" s="12"/>
      <c r="AV14" s="12"/>
      <c r="AW14" s="12"/>
      <c r="AX14" s="12"/>
      <c r="AY14" s="11"/>
      <c r="AZ14" s="12"/>
      <c r="BA14" s="12"/>
      <c r="BB14" s="12"/>
      <c r="BC14" s="12"/>
      <c r="BD14" s="12"/>
      <c r="BE14" s="12"/>
      <c r="BF14" s="11"/>
      <c r="BG14" s="12"/>
      <c r="BH14" s="12"/>
      <c r="BI14" s="12"/>
      <c r="BJ14" s="12"/>
      <c r="BK14" s="12"/>
      <c r="BL14" s="12"/>
      <c r="BM14" s="11"/>
      <c r="BN14" s="12"/>
      <c r="BO14" s="12"/>
      <c r="BP14" s="12"/>
      <c r="BQ14" s="12"/>
    </row>
    <row r="15" customFormat="false" ht="27" hidden="false" customHeight="true" outlineLevel="0" collapsed="false">
      <c r="A15" s="13" t="n">
        <v>7</v>
      </c>
      <c r="B15" s="13" t="s">
        <v>33</v>
      </c>
      <c r="C15" s="14" t="s">
        <v>41</v>
      </c>
      <c r="D15" s="15" t="n">
        <v>46332</v>
      </c>
      <c r="E15" s="15" t="n">
        <v>46334</v>
      </c>
      <c r="F15" s="13" t="n">
        <f aca="false">E15-D15+1</f>
        <v>3</v>
      </c>
      <c r="G15" s="20" t="s">
        <v>42</v>
      </c>
      <c r="H15" s="16" t="s">
        <v>30</v>
      </c>
      <c r="I15" s="11"/>
      <c r="J15" s="12"/>
      <c r="K15" s="12"/>
      <c r="L15" s="12"/>
      <c r="M15" s="12"/>
      <c r="N15" s="12"/>
      <c r="O15" s="12"/>
      <c r="P15" s="11"/>
      <c r="Q15" s="12"/>
      <c r="R15" s="12"/>
      <c r="S15" s="12"/>
      <c r="T15" s="12"/>
      <c r="U15" s="12"/>
      <c r="V15" s="12"/>
      <c r="W15" s="11"/>
      <c r="X15" s="12"/>
      <c r="Y15" s="12"/>
      <c r="Z15" s="12"/>
      <c r="AA15" s="12"/>
      <c r="AB15" s="12"/>
      <c r="AC15" s="12"/>
      <c r="AD15" s="11"/>
      <c r="AE15" s="12"/>
      <c r="AF15" s="12"/>
      <c r="AG15" s="12"/>
      <c r="AH15" s="12"/>
      <c r="AI15" s="12"/>
      <c r="AJ15" s="12"/>
      <c r="AK15" s="11"/>
      <c r="AL15" s="12"/>
      <c r="AM15" s="12"/>
      <c r="AN15" s="12"/>
      <c r="AO15" s="12"/>
      <c r="AP15" s="12"/>
      <c r="AQ15" s="12"/>
      <c r="AR15" s="11"/>
      <c r="AS15" s="12"/>
      <c r="AT15" s="12"/>
      <c r="AU15" s="12"/>
      <c r="AV15" s="12"/>
      <c r="AW15" s="12"/>
      <c r="AX15" s="12"/>
      <c r="AY15" s="11"/>
      <c r="AZ15" s="12"/>
      <c r="BA15" s="12"/>
      <c r="BB15" s="12"/>
      <c r="BC15" s="12"/>
      <c r="BD15" s="12"/>
      <c r="BE15" s="12"/>
      <c r="BF15" s="11"/>
      <c r="BG15" s="12"/>
      <c r="BH15" s="12"/>
      <c r="BI15" s="12"/>
      <c r="BJ15" s="12"/>
      <c r="BK15" s="12"/>
      <c r="BL15" s="12"/>
      <c r="BM15" s="11"/>
      <c r="BN15" s="12"/>
      <c r="BO15" s="12"/>
      <c r="BP15" s="12"/>
      <c r="BQ15" s="12"/>
    </row>
    <row r="16" customFormat="false" ht="19.5" hidden="false" customHeight="true" outlineLevel="0" collapsed="false">
      <c r="A16" s="21" t="s">
        <v>43</v>
      </c>
      <c r="B16" s="21"/>
      <c r="C16" s="22" t="s">
        <v>44</v>
      </c>
      <c r="D16" s="23" t="n">
        <f aca="false">MIN(D17:D21)</f>
        <v>46314</v>
      </c>
      <c r="E16" s="23" t="n">
        <f aca="false">MAX(E17:E21)</f>
        <v>46346</v>
      </c>
      <c r="F16" s="21" t="n">
        <f aca="false">E16-D16+1</f>
        <v>33</v>
      </c>
      <c r="G16" s="22" t="str">
        <f aca="false">COUNTIF(H17:H21,"Completado")&amp;" de 5 completadas"</f>
        <v>0 de 5 completadas</v>
      </c>
      <c r="H16" s="21"/>
      <c r="I16" s="11"/>
      <c r="J16" s="12"/>
      <c r="K16" s="12"/>
      <c r="L16" s="12"/>
      <c r="M16" s="12"/>
      <c r="N16" s="12"/>
      <c r="O16" s="12"/>
      <c r="P16" s="11"/>
      <c r="Q16" s="12"/>
      <c r="R16" s="12"/>
      <c r="S16" s="12"/>
      <c r="T16" s="12"/>
      <c r="U16" s="12"/>
      <c r="V16" s="12"/>
      <c r="W16" s="11"/>
      <c r="X16" s="12"/>
      <c r="Y16" s="12"/>
      <c r="Z16" s="12"/>
      <c r="AA16" s="12"/>
      <c r="AB16" s="12"/>
      <c r="AC16" s="12"/>
      <c r="AD16" s="11"/>
      <c r="AE16" s="12"/>
      <c r="AF16" s="12"/>
      <c r="AG16" s="12"/>
      <c r="AH16" s="12"/>
      <c r="AI16" s="12"/>
      <c r="AJ16" s="12"/>
      <c r="AK16" s="11"/>
      <c r="AL16" s="12"/>
      <c r="AM16" s="12"/>
      <c r="AN16" s="12"/>
      <c r="AO16" s="12"/>
      <c r="AP16" s="12"/>
      <c r="AQ16" s="12"/>
      <c r="AR16" s="11"/>
      <c r="AS16" s="12"/>
      <c r="AT16" s="12"/>
      <c r="AU16" s="12"/>
      <c r="AV16" s="12"/>
      <c r="AW16" s="12"/>
      <c r="AX16" s="12"/>
      <c r="AY16" s="11"/>
      <c r="AZ16" s="12"/>
      <c r="BA16" s="12"/>
      <c r="BB16" s="12"/>
      <c r="BC16" s="12"/>
      <c r="BD16" s="12"/>
      <c r="BE16" s="12"/>
      <c r="BF16" s="11"/>
      <c r="BG16" s="12"/>
      <c r="BH16" s="12"/>
      <c r="BI16" s="12"/>
      <c r="BJ16" s="12"/>
      <c r="BK16" s="12"/>
      <c r="BL16" s="12"/>
      <c r="BM16" s="11"/>
      <c r="BN16" s="12"/>
      <c r="BO16" s="12"/>
      <c r="BP16" s="12"/>
      <c r="BQ16" s="12"/>
    </row>
    <row r="17" customFormat="false" ht="27" hidden="false" customHeight="true" outlineLevel="0" collapsed="false">
      <c r="A17" s="13" t="n">
        <v>8</v>
      </c>
      <c r="B17" s="13" t="s">
        <v>43</v>
      </c>
      <c r="C17" s="14" t="s">
        <v>45</v>
      </c>
      <c r="D17" s="15" t="n">
        <v>46314</v>
      </c>
      <c r="E17" s="15" t="n">
        <v>46325</v>
      </c>
      <c r="F17" s="13" t="n">
        <f aca="false">E17-D17+1</f>
        <v>12</v>
      </c>
      <c r="G17" s="14" t="s">
        <v>46</v>
      </c>
      <c r="H17" s="16" t="s">
        <v>30</v>
      </c>
      <c r="I17" s="11"/>
      <c r="J17" s="12"/>
      <c r="K17" s="12"/>
      <c r="L17" s="12"/>
      <c r="M17" s="12"/>
      <c r="N17" s="12"/>
      <c r="O17" s="12"/>
      <c r="P17" s="11"/>
      <c r="Q17" s="12"/>
      <c r="R17" s="12"/>
      <c r="S17" s="12"/>
      <c r="T17" s="12"/>
      <c r="U17" s="12"/>
      <c r="V17" s="12"/>
      <c r="W17" s="11"/>
      <c r="X17" s="12"/>
      <c r="Y17" s="12"/>
      <c r="Z17" s="12"/>
      <c r="AA17" s="12"/>
      <c r="AB17" s="12"/>
      <c r="AC17" s="12"/>
      <c r="AD17" s="11"/>
      <c r="AE17" s="12"/>
      <c r="AF17" s="12"/>
      <c r="AG17" s="12"/>
      <c r="AH17" s="12"/>
      <c r="AI17" s="12"/>
      <c r="AJ17" s="12"/>
      <c r="AK17" s="11"/>
      <c r="AL17" s="12"/>
      <c r="AM17" s="12"/>
      <c r="AN17" s="12"/>
      <c r="AO17" s="12"/>
      <c r="AP17" s="12"/>
      <c r="AQ17" s="12"/>
      <c r="AR17" s="11"/>
      <c r="AS17" s="12"/>
      <c r="AT17" s="12"/>
      <c r="AU17" s="12"/>
      <c r="AV17" s="12"/>
      <c r="AW17" s="12"/>
      <c r="AX17" s="12"/>
      <c r="AY17" s="11"/>
      <c r="AZ17" s="12"/>
      <c r="BA17" s="12"/>
      <c r="BB17" s="12"/>
      <c r="BC17" s="12"/>
      <c r="BD17" s="12"/>
      <c r="BE17" s="12"/>
      <c r="BF17" s="11"/>
      <c r="BG17" s="12"/>
      <c r="BH17" s="12"/>
      <c r="BI17" s="12"/>
      <c r="BJ17" s="12"/>
      <c r="BK17" s="12"/>
      <c r="BL17" s="12"/>
      <c r="BM17" s="11"/>
      <c r="BN17" s="12"/>
      <c r="BO17" s="12"/>
      <c r="BP17" s="12"/>
      <c r="BQ17" s="12"/>
    </row>
    <row r="18" customFormat="false" ht="27" hidden="false" customHeight="true" outlineLevel="0" collapsed="false">
      <c r="A18" s="13" t="n">
        <v>9</v>
      </c>
      <c r="B18" s="13" t="s">
        <v>43</v>
      </c>
      <c r="C18" s="14" t="s">
        <v>47</v>
      </c>
      <c r="D18" s="15" t="n">
        <v>46321</v>
      </c>
      <c r="E18" s="15" t="n">
        <v>46332</v>
      </c>
      <c r="F18" s="13" t="n">
        <f aca="false">E18-D18+1</f>
        <v>12</v>
      </c>
      <c r="G18" s="14" t="s">
        <v>48</v>
      </c>
      <c r="H18" s="16" t="s">
        <v>30</v>
      </c>
      <c r="I18" s="11"/>
      <c r="J18" s="12"/>
      <c r="K18" s="12"/>
      <c r="L18" s="12"/>
      <c r="M18" s="12"/>
      <c r="N18" s="12"/>
      <c r="O18" s="12"/>
      <c r="P18" s="11"/>
      <c r="Q18" s="12"/>
      <c r="R18" s="12"/>
      <c r="S18" s="12"/>
      <c r="T18" s="12"/>
      <c r="U18" s="12"/>
      <c r="V18" s="12"/>
      <c r="W18" s="11"/>
      <c r="X18" s="12"/>
      <c r="Y18" s="12"/>
      <c r="Z18" s="12"/>
      <c r="AA18" s="12"/>
      <c r="AB18" s="12"/>
      <c r="AC18" s="12"/>
      <c r="AD18" s="11"/>
      <c r="AE18" s="12"/>
      <c r="AF18" s="12"/>
      <c r="AG18" s="12"/>
      <c r="AH18" s="12"/>
      <c r="AI18" s="12"/>
      <c r="AJ18" s="12"/>
      <c r="AK18" s="11"/>
      <c r="AL18" s="12"/>
      <c r="AM18" s="12"/>
      <c r="AN18" s="12"/>
      <c r="AO18" s="12"/>
      <c r="AP18" s="12"/>
      <c r="AQ18" s="12"/>
      <c r="AR18" s="11"/>
      <c r="AS18" s="12"/>
      <c r="AT18" s="12"/>
      <c r="AU18" s="12"/>
      <c r="AV18" s="12"/>
      <c r="AW18" s="12"/>
      <c r="AX18" s="12"/>
      <c r="AY18" s="11"/>
      <c r="AZ18" s="12"/>
      <c r="BA18" s="12"/>
      <c r="BB18" s="12"/>
      <c r="BC18" s="12"/>
      <c r="BD18" s="12"/>
      <c r="BE18" s="12"/>
      <c r="BF18" s="11"/>
      <c r="BG18" s="12"/>
      <c r="BH18" s="12"/>
      <c r="BI18" s="12"/>
      <c r="BJ18" s="12"/>
      <c r="BK18" s="12"/>
      <c r="BL18" s="12"/>
      <c r="BM18" s="11"/>
      <c r="BN18" s="12"/>
      <c r="BO18" s="12"/>
      <c r="BP18" s="12"/>
      <c r="BQ18" s="12"/>
    </row>
    <row r="19" customFormat="false" ht="27" hidden="false" customHeight="true" outlineLevel="0" collapsed="false">
      <c r="A19" s="13" t="n">
        <v>10</v>
      </c>
      <c r="B19" s="13" t="s">
        <v>43</v>
      </c>
      <c r="C19" s="14" t="s">
        <v>49</v>
      </c>
      <c r="D19" s="15" t="n">
        <v>46328</v>
      </c>
      <c r="E19" s="15" t="n">
        <v>46341</v>
      </c>
      <c r="F19" s="13" t="n">
        <f aca="false">E19-D19+1</f>
        <v>14</v>
      </c>
      <c r="G19" s="14" t="s">
        <v>50</v>
      </c>
      <c r="H19" s="16" t="s">
        <v>30</v>
      </c>
      <c r="I19" s="11"/>
      <c r="J19" s="12"/>
      <c r="K19" s="12"/>
      <c r="L19" s="12"/>
      <c r="M19" s="12"/>
      <c r="N19" s="12"/>
      <c r="O19" s="12"/>
      <c r="P19" s="11"/>
      <c r="Q19" s="12"/>
      <c r="R19" s="12"/>
      <c r="S19" s="12"/>
      <c r="T19" s="12"/>
      <c r="U19" s="12"/>
      <c r="V19" s="12"/>
      <c r="W19" s="11"/>
      <c r="X19" s="12"/>
      <c r="Y19" s="12"/>
      <c r="Z19" s="12"/>
      <c r="AA19" s="12"/>
      <c r="AB19" s="12"/>
      <c r="AC19" s="12"/>
      <c r="AD19" s="11"/>
      <c r="AE19" s="12"/>
      <c r="AF19" s="12"/>
      <c r="AG19" s="12"/>
      <c r="AH19" s="12"/>
      <c r="AI19" s="12"/>
      <c r="AJ19" s="12"/>
      <c r="AK19" s="11"/>
      <c r="AL19" s="12"/>
      <c r="AM19" s="12"/>
      <c r="AN19" s="12"/>
      <c r="AO19" s="12"/>
      <c r="AP19" s="12"/>
      <c r="AQ19" s="12"/>
      <c r="AR19" s="11"/>
      <c r="AS19" s="12"/>
      <c r="AT19" s="12"/>
      <c r="AU19" s="12"/>
      <c r="AV19" s="12"/>
      <c r="AW19" s="12"/>
      <c r="AX19" s="12"/>
      <c r="AY19" s="11"/>
      <c r="AZ19" s="12"/>
      <c r="BA19" s="12"/>
      <c r="BB19" s="12"/>
      <c r="BC19" s="12"/>
      <c r="BD19" s="12"/>
      <c r="BE19" s="12"/>
      <c r="BF19" s="11"/>
      <c r="BG19" s="12"/>
      <c r="BH19" s="12"/>
      <c r="BI19" s="12"/>
      <c r="BJ19" s="12"/>
      <c r="BK19" s="12"/>
      <c r="BL19" s="12"/>
      <c r="BM19" s="11"/>
      <c r="BN19" s="12"/>
      <c r="BO19" s="12"/>
      <c r="BP19" s="12"/>
      <c r="BQ19" s="12"/>
    </row>
    <row r="20" customFormat="false" ht="27" hidden="false" customHeight="true" outlineLevel="0" collapsed="false">
      <c r="A20" s="13" t="n">
        <v>11</v>
      </c>
      <c r="B20" s="13" t="s">
        <v>43</v>
      </c>
      <c r="C20" s="14" t="s">
        <v>51</v>
      </c>
      <c r="D20" s="15" t="n">
        <v>46335</v>
      </c>
      <c r="E20" s="15" t="n">
        <v>46346</v>
      </c>
      <c r="F20" s="13" t="n">
        <f aca="false">E20-D20+1</f>
        <v>12</v>
      </c>
      <c r="G20" s="14" t="s">
        <v>52</v>
      </c>
      <c r="H20" s="16" t="s">
        <v>30</v>
      </c>
      <c r="I20" s="11"/>
      <c r="J20" s="12"/>
      <c r="K20" s="12"/>
      <c r="L20" s="12"/>
      <c r="M20" s="12"/>
      <c r="N20" s="12"/>
      <c r="O20" s="12"/>
      <c r="P20" s="11"/>
      <c r="Q20" s="12"/>
      <c r="R20" s="12"/>
      <c r="S20" s="12"/>
      <c r="T20" s="12"/>
      <c r="U20" s="12"/>
      <c r="V20" s="12"/>
      <c r="W20" s="11"/>
      <c r="X20" s="12"/>
      <c r="Y20" s="12"/>
      <c r="Z20" s="12"/>
      <c r="AA20" s="12"/>
      <c r="AB20" s="12"/>
      <c r="AC20" s="12"/>
      <c r="AD20" s="11"/>
      <c r="AE20" s="12"/>
      <c r="AF20" s="12"/>
      <c r="AG20" s="12"/>
      <c r="AH20" s="12"/>
      <c r="AI20" s="12"/>
      <c r="AJ20" s="12"/>
      <c r="AK20" s="11"/>
      <c r="AL20" s="12"/>
      <c r="AM20" s="12"/>
      <c r="AN20" s="12"/>
      <c r="AO20" s="12"/>
      <c r="AP20" s="12"/>
      <c r="AQ20" s="12"/>
      <c r="AR20" s="11"/>
      <c r="AS20" s="12"/>
      <c r="AT20" s="12"/>
      <c r="AU20" s="12"/>
      <c r="AV20" s="12"/>
      <c r="AW20" s="12"/>
      <c r="AX20" s="12"/>
      <c r="AY20" s="11"/>
      <c r="AZ20" s="12"/>
      <c r="BA20" s="12"/>
      <c r="BB20" s="12"/>
      <c r="BC20" s="12"/>
      <c r="BD20" s="12"/>
      <c r="BE20" s="12"/>
      <c r="BF20" s="11"/>
      <c r="BG20" s="12"/>
      <c r="BH20" s="12"/>
      <c r="BI20" s="12"/>
      <c r="BJ20" s="12"/>
      <c r="BK20" s="12"/>
      <c r="BL20" s="12"/>
      <c r="BM20" s="11"/>
      <c r="BN20" s="12"/>
      <c r="BO20" s="12"/>
      <c r="BP20" s="12"/>
      <c r="BQ20" s="12"/>
    </row>
    <row r="21" customFormat="false" ht="27" hidden="false" customHeight="true" outlineLevel="0" collapsed="false">
      <c r="A21" s="13" t="n">
        <v>12</v>
      </c>
      <c r="B21" s="13" t="s">
        <v>43</v>
      </c>
      <c r="C21" s="14" t="s">
        <v>53</v>
      </c>
      <c r="D21" s="15" t="n">
        <v>46335</v>
      </c>
      <c r="E21" s="15" t="n">
        <v>46339</v>
      </c>
      <c r="F21" s="13" t="n">
        <f aca="false">E21-D21+1</f>
        <v>5</v>
      </c>
      <c r="G21" s="20" t="s">
        <v>54</v>
      </c>
      <c r="H21" s="16" t="s">
        <v>30</v>
      </c>
      <c r="I21" s="11"/>
      <c r="J21" s="12"/>
      <c r="K21" s="12"/>
      <c r="L21" s="12"/>
      <c r="M21" s="12"/>
      <c r="N21" s="12"/>
      <c r="O21" s="12"/>
      <c r="P21" s="11"/>
      <c r="Q21" s="12"/>
      <c r="R21" s="12"/>
      <c r="S21" s="12"/>
      <c r="T21" s="12"/>
      <c r="U21" s="12"/>
      <c r="V21" s="12"/>
      <c r="W21" s="11"/>
      <c r="X21" s="12"/>
      <c r="Y21" s="12"/>
      <c r="Z21" s="12"/>
      <c r="AA21" s="12"/>
      <c r="AB21" s="12"/>
      <c r="AC21" s="12"/>
      <c r="AD21" s="11"/>
      <c r="AE21" s="12"/>
      <c r="AF21" s="12"/>
      <c r="AG21" s="12"/>
      <c r="AH21" s="12"/>
      <c r="AI21" s="12"/>
      <c r="AJ21" s="12"/>
      <c r="AK21" s="11"/>
      <c r="AL21" s="12"/>
      <c r="AM21" s="12"/>
      <c r="AN21" s="12"/>
      <c r="AO21" s="12"/>
      <c r="AP21" s="12"/>
      <c r="AQ21" s="12"/>
      <c r="AR21" s="11"/>
      <c r="AS21" s="12"/>
      <c r="AT21" s="12"/>
      <c r="AU21" s="12"/>
      <c r="AV21" s="12"/>
      <c r="AW21" s="12"/>
      <c r="AX21" s="12"/>
      <c r="AY21" s="11"/>
      <c r="AZ21" s="12"/>
      <c r="BA21" s="12"/>
      <c r="BB21" s="12"/>
      <c r="BC21" s="12"/>
      <c r="BD21" s="12"/>
      <c r="BE21" s="12"/>
      <c r="BF21" s="11"/>
      <c r="BG21" s="12"/>
      <c r="BH21" s="12"/>
      <c r="BI21" s="12"/>
      <c r="BJ21" s="12"/>
      <c r="BK21" s="12"/>
      <c r="BL21" s="12"/>
      <c r="BM21" s="11"/>
      <c r="BN21" s="12"/>
      <c r="BO21" s="12"/>
      <c r="BP21" s="12"/>
      <c r="BQ21" s="12"/>
    </row>
    <row r="22" customFormat="false" ht="19.5" hidden="false" customHeight="true" outlineLevel="0" collapsed="false">
      <c r="A22" s="24" t="s">
        <v>55</v>
      </c>
      <c r="B22" s="24"/>
      <c r="C22" s="25" t="s">
        <v>56</v>
      </c>
      <c r="D22" s="26" t="n">
        <f aca="false">MIN(D23:D27)</f>
        <v>46340</v>
      </c>
      <c r="E22" s="26" t="n">
        <f aca="false">MAX(E23:E27)</f>
        <v>46360</v>
      </c>
      <c r="F22" s="24" t="n">
        <f aca="false">E22-D22+1</f>
        <v>21</v>
      </c>
      <c r="G22" s="25" t="str">
        <f aca="false">COUNTIF(H23:H27,"Completado")&amp;" de 5 completadas"</f>
        <v>0 de 5 completadas</v>
      </c>
      <c r="H22" s="24"/>
      <c r="I22" s="11"/>
      <c r="J22" s="12"/>
      <c r="K22" s="12"/>
      <c r="L22" s="12"/>
      <c r="M22" s="12"/>
      <c r="N22" s="12"/>
      <c r="O22" s="12"/>
      <c r="P22" s="11"/>
      <c r="Q22" s="12"/>
      <c r="R22" s="12"/>
      <c r="S22" s="12"/>
      <c r="T22" s="12"/>
      <c r="U22" s="12"/>
      <c r="V22" s="12"/>
      <c r="W22" s="11"/>
      <c r="X22" s="12"/>
      <c r="Y22" s="12"/>
      <c r="Z22" s="12"/>
      <c r="AA22" s="12"/>
      <c r="AB22" s="12"/>
      <c r="AC22" s="12"/>
      <c r="AD22" s="11"/>
      <c r="AE22" s="12"/>
      <c r="AF22" s="12"/>
      <c r="AG22" s="12"/>
      <c r="AH22" s="12"/>
      <c r="AI22" s="12"/>
      <c r="AJ22" s="12"/>
      <c r="AK22" s="11"/>
      <c r="AL22" s="12"/>
      <c r="AM22" s="12"/>
      <c r="AN22" s="12"/>
      <c r="AO22" s="12"/>
      <c r="AP22" s="12"/>
      <c r="AQ22" s="12"/>
      <c r="AR22" s="11"/>
      <c r="AS22" s="12"/>
      <c r="AT22" s="12"/>
      <c r="AU22" s="12"/>
      <c r="AV22" s="12"/>
      <c r="AW22" s="12"/>
      <c r="AX22" s="12"/>
      <c r="AY22" s="11"/>
      <c r="AZ22" s="12"/>
      <c r="BA22" s="12"/>
      <c r="BB22" s="12"/>
      <c r="BC22" s="12"/>
      <c r="BD22" s="12"/>
      <c r="BE22" s="12"/>
      <c r="BF22" s="11"/>
      <c r="BG22" s="12"/>
      <c r="BH22" s="12"/>
      <c r="BI22" s="12"/>
      <c r="BJ22" s="12"/>
      <c r="BK22" s="12"/>
      <c r="BL22" s="12"/>
      <c r="BM22" s="11"/>
      <c r="BN22" s="12"/>
      <c r="BO22" s="12"/>
      <c r="BP22" s="12"/>
      <c r="BQ22" s="12"/>
    </row>
    <row r="23" customFormat="false" ht="27" hidden="false" customHeight="true" outlineLevel="0" collapsed="false">
      <c r="A23" s="13" t="n">
        <v>13</v>
      </c>
      <c r="B23" s="13" t="s">
        <v>55</v>
      </c>
      <c r="C23" s="14" t="s">
        <v>57</v>
      </c>
      <c r="D23" s="15" t="n">
        <v>46340</v>
      </c>
      <c r="E23" s="15" t="n">
        <v>46341</v>
      </c>
      <c r="F23" s="13" t="n">
        <f aca="false">E23-D23+1</f>
        <v>2</v>
      </c>
      <c r="G23" s="14" t="s">
        <v>58</v>
      </c>
      <c r="H23" s="16" t="s">
        <v>30</v>
      </c>
      <c r="I23" s="11"/>
      <c r="J23" s="12"/>
      <c r="K23" s="12"/>
      <c r="L23" s="12"/>
      <c r="M23" s="12"/>
      <c r="N23" s="12"/>
      <c r="O23" s="12"/>
      <c r="P23" s="11"/>
      <c r="Q23" s="12"/>
      <c r="R23" s="12"/>
      <c r="S23" s="12"/>
      <c r="T23" s="12"/>
      <c r="U23" s="12"/>
      <c r="V23" s="12"/>
      <c r="W23" s="11"/>
      <c r="X23" s="12"/>
      <c r="Y23" s="12"/>
      <c r="Z23" s="12"/>
      <c r="AA23" s="12"/>
      <c r="AB23" s="12"/>
      <c r="AC23" s="12"/>
      <c r="AD23" s="11"/>
      <c r="AE23" s="12"/>
      <c r="AF23" s="12"/>
      <c r="AG23" s="12"/>
      <c r="AH23" s="12"/>
      <c r="AI23" s="12"/>
      <c r="AJ23" s="12"/>
      <c r="AK23" s="11"/>
      <c r="AL23" s="12"/>
      <c r="AM23" s="12"/>
      <c r="AN23" s="12"/>
      <c r="AO23" s="12"/>
      <c r="AP23" s="12"/>
      <c r="AQ23" s="12"/>
      <c r="AR23" s="11"/>
      <c r="AS23" s="12"/>
      <c r="AT23" s="12"/>
      <c r="AU23" s="12"/>
      <c r="AV23" s="12"/>
      <c r="AW23" s="12"/>
      <c r="AX23" s="12"/>
      <c r="AY23" s="11"/>
      <c r="AZ23" s="12"/>
      <c r="BA23" s="12"/>
      <c r="BB23" s="12"/>
      <c r="BC23" s="12"/>
      <c r="BD23" s="12"/>
      <c r="BE23" s="12"/>
      <c r="BF23" s="11"/>
      <c r="BG23" s="12"/>
      <c r="BH23" s="12"/>
      <c r="BI23" s="12"/>
      <c r="BJ23" s="12"/>
      <c r="BK23" s="12"/>
      <c r="BL23" s="12"/>
      <c r="BM23" s="11"/>
      <c r="BN23" s="12"/>
      <c r="BO23" s="12"/>
      <c r="BP23" s="12"/>
      <c r="BQ23" s="12"/>
    </row>
    <row r="24" customFormat="false" ht="27" hidden="false" customHeight="true" outlineLevel="0" collapsed="false">
      <c r="A24" s="13" t="n">
        <v>14</v>
      </c>
      <c r="B24" s="13" t="s">
        <v>55</v>
      </c>
      <c r="C24" s="14" t="s">
        <v>59</v>
      </c>
      <c r="D24" s="15" t="n">
        <v>46342</v>
      </c>
      <c r="E24" s="15" t="n">
        <v>46348</v>
      </c>
      <c r="F24" s="13" t="n">
        <f aca="false">E24-D24+1</f>
        <v>7</v>
      </c>
      <c r="G24" s="20" t="s">
        <v>60</v>
      </c>
      <c r="H24" s="16" t="s">
        <v>30</v>
      </c>
      <c r="I24" s="11"/>
      <c r="J24" s="12"/>
      <c r="K24" s="12"/>
      <c r="L24" s="12"/>
      <c r="M24" s="12"/>
      <c r="N24" s="12"/>
      <c r="O24" s="12"/>
      <c r="P24" s="11"/>
      <c r="Q24" s="12"/>
      <c r="R24" s="12"/>
      <c r="S24" s="12"/>
      <c r="T24" s="12"/>
      <c r="U24" s="12"/>
      <c r="V24" s="12"/>
      <c r="W24" s="11"/>
      <c r="X24" s="12"/>
      <c r="Y24" s="12"/>
      <c r="Z24" s="12"/>
      <c r="AA24" s="12"/>
      <c r="AB24" s="12"/>
      <c r="AC24" s="12"/>
      <c r="AD24" s="11"/>
      <c r="AE24" s="12"/>
      <c r="AF24" s="12"/>
      <c r="AG24" s="12"/>
      <c r="AH24" s="12"/>
      <c r="AI24" s="12"/>
      <c r="AJ24" s="12"/>
      <c r="AK24" s="11"/>
      <c r="AL24" s="12"/>
      <c r="AM24" s="12"/>
      <c r="AN24" s="12"/>
      <c r="AO24" s="12"/>
      <c r="AP24" s="12"/>
      <c r="AQ24" s="12"/>
      <c r="AR24" s="11"/>
      <c r="AS24" s="12"/>
      <c r="AT24" s="12"/>
      <c r="AU24" s="12"/>
      <c r="AV24" s="12"/>
      <c r="AW24" s="12"/>
      <c r="AX24" s="12"/>
      <c r="AY24" s="11"/>
      <c r="AZ24" s="12"/>
      <c r="BA24" s="12"/>
      <c r="BB24" s="12"/>
      <c r="BC24" s="12"/>
      <c r="BD24" s="12"/>
      <c r="BE24" s="12"/>
      <c r="BF24" s="11"/>
      <c r="BG24" s="12"/>
      <c r="BH24" s="12"/>
      <c r="BI24" s="12"/>
      <c r="BJ24" s="12"/>
      <c r="BK24" s="12"/>
      <c r="BL24" s="12"/>
      <c r="BM24" s="11"/>
      <c r="BN24" s="12"/>
      <c r="BO24" s="12"/>
      <c r="BP24" s="12"/>
      <c r="BQ24" s="12"/>
    </row>
    <row r="25" customFormat="false" ht="27" hidden="false" customHeight="true" outlineLevel="0" collapsed="false">
      <c r="A25" s="13" t="n">
        <v>15</v>
      </c>
      <c r="B25" s="13" t="s">
        <v>55</v>
      </c>
      <c r="C25" s="14" t="s">
        <v>61</v>
      </c>
      <c r="D25" s="15" t="n">
        <v>46344</v>
      </c>
      <c r="E25" s="15" t="n">
        <v>46353</v>
      </c>
      <c r="F25" s="13" t="n">
        <f aca="false">E25-D25+1</f>
        <v>10</v>
      </c>
      <c r="G25" s="14" t="s">
        <v>62</v>
      </c>
      <c r="H25" s="16" t="s">
        <v>30</v>
      </c>
      <c r="I25" s="11"/>
      <c r="J25" s="12"/>
      <c r="K25" s="12"/>
      <c r="L25" s="12"/>
      <c r="M25" s="12"/>
      <c r="N25" s="12"/>
      <c r="O25" s="12"/>
      <c r="P25" s="11"/>
      <c r="Q25" s="12"/>
      <c r="R25" s="12"/>
      <c r="S25" s="12"/>
      <c r="T25" s="12"/>
      <c r="U25" s="12"/>
      <c r="V25" s="12"/>
      <c r="W25" s="11"/>
      <c r="X25" s="12"/>
      <c r="Y25" s="12"/>
      <c r="Z25" s="12"/>
      <c r="AA25" s="12"/>
      <c r="AB25" s="12"/>
      <c r="AC25" s="12"/>
      <c r="AD25" s="11"/>
      <c r="AE25" s="12"/>
      <c r="AF25" s="12"/>
      <c r="AG25" s="12"/>
      <c r="AH25" s="12"/>
      <c r="AI25" s="12"/>
      <c r="AJ25" s="12"/>
      <c r="AK25" s="11"/>
      <c r="AL25" s="12"/>
      <c r="AM25" s="12"/>
      <c r="AN25" s="12"/>
      <c r="AO25" s="12"/>
      <c r="AP25" s="12"/>
      <c r="AQ25" s="12"/>
      <c r="AR25" s="11"/>
      <c r="AS25" s="12"/>
      <c r="AT25" s="12"/>
      <c r="AU25" s="12"/>
      <c r="AV25" s="12"/>
      <c r="AW25" s="12"/>
      <c r="AX25" s="12"/>
      <c r="AY25" s="11"/>
      <c r="AZ25" s="12"/>
      <c r="BA25" s="12"/>
      <c r="BB25" s="12"/>
      <c r="BC25" s="12"/>
      <c r="BD25" s="12"/>
      <c r="BE25" s="12"/>
      <c r="BF25" s="11"/>
      <c r="BG25" s="12"/>
      <c r="BH25" s="12"/>
      <c r="BI25" s="12"/>
      <c r="BJ25" s="12"/>
      <c r="BK25" s="12"/>
      <c r="BL25" s="12"/>
      <c r="BM25" s="11"/>
      <c r="BN25" s="12"/>
      <c r="BO25" s="12"/>
      <c r="BP25" s="12"/>
      <c r="BQ25" s="12"/>
    </row>
    <row r="26" customFormat="false" ht="27" hidden="false" customHeight="true" outlineLevel="0" collapsed="false">
      <c r="A26" s="13" t="n">
        <v>16</v>
      </c>
      <c r="B26" s="13" t="s">
        <v>55</v>
      </c>
      <c r="C26" s="14" t="s">
        <v>63</v>
      </c>
      <c r="D26" s="15" t="n">
        <v>46351</v>
      </c>
      <c r="E26" s="15" t="n">
        <v>46360</v>
      </c>
      <c r="F26" s="13" t="n">
        <f aca="false">E26-D26+1</f>
        <v>10</v>
      </c>
      <c r="G26" s="20" t="s">
        <v>64</v>
      </c>
      <c r="H26" s="16" t="s">
        <v>30</v>
      </c>
      <c r="I26" s="11"/>
      <c r="J26" s="12"/>
      <c r="K26" s="12"/>
      <c r="L26" s="12"/>
      <c r="M26" s="12"/>
      <c r="N26" s="12"/>
      <c r="O26" s="12"/>
      <c r="P26" s="11"/>
      <c r="Q26" s="12"/>
      <c r="R26" s="12"/>
      <c r="S26" s="12"/>
      <c r="T26" s="12"/>
      <c r="U26" s="12"/>
      <c r="V26" s="12"/>
      <c r="W26" s="11"/>
      <c r="X26" s="12"/>
      <c r="Y26" s="12"/>
      <c r="Z26" s="12"/>
      <c r="AA26" s="12"/>
      <c r="AB26" s="12"/>
      <c r="AC26" s="12"/>
      <c r="AD26" s="11"/>
      <c r="AE26" s="12"/>
      <c r="AF26" s="12"/>
      <c r="AG26" s="12"/>
      <c r="AH26" s="12"/>
      <c r="AI26" s="12"/>
      <c r="AJ26" s="12"/>
      <c r="AK26" s="11"/>
      <c r="AL26" s="12"/>
      <c r="AM26" s="12"/>
      <c r="AN26" s="12"/>
      <c r="AO26" s="12"/>
      <c r="AP26" s="12"/>
      <c r="AQ26" s="12"/>
      <c r="AR26" s="11"/>
      <c r="AS26" s="12"/>
      <c r="AT26" s="12"/>
      <c r="AU26" s="12"/>
      <c r="AV26" s="12"/>
      <c r="AW26" s="12"/>
      <c r="AX26" s="12"/>
      <c r="AY26" s="11"/>
      <c r="AZ26" s="12"/>
      <c r="BA26" s="12"/>
      <c r="BB26" s="12"/>
      <c r="BC26" s="12"/>
      <c r="BD26" s="12"/>
      <c r="BE26" s="12"/>
      <c r="BF26" s="11"/>
      <c r="BG26" s="12"/>
      <c r="BH26" s="12"/>
      <c r="BI26" s="12"/>
      <c r="BJ26" s="12"/>
      <c r="BK26" s="12"/>
      <c r="BL26" s="12"/>
      <c r="BM26" s="11"/>
      <c r="BN26" s="12"/>
      <c r="BO26" s="12"/>
      <c r="BP26" s="12"/>
      <c r="BQ26" s="12"/>
    </row>
    <row r="27" customFormat="false" ht="27" hidden="false" customHeight="true" outlineLevel="0" collapsed="false">
      <c r="A27" s="13" t="n">
        <v>17</v>
      </c>
      <c r="B27" s="13" t="s">
        <v>55</v>
      </c>
      <c r="C27" s="14" t="s">
        <v>65</v>
      </c>
      <c r="D27" s="15" t="n">
        <v>46354</v>
      </c>
      <c r="E27" s="15" t="n">
        <v>46360</v>
      </c>
      <c r="F27" s="13" t="n">
        <f aca="false">E27-D27+1</f>
        <v>7</v>
      </c>
      <c r="G27" s="14" t="s">
        <v>66</v>
      </c>
      <c r="H27" s="16" t="s">
        <v>30</v>
      </c>
      <c r="I27" s="11"/>
      <c r="J27" s="12"/>
      <c r="K27" s="12"/>
      <c r="L27" s="12"/>
      <c r="M27" s="12"/>
      <c r="N27" s="12"/>
      <c r="O27" s="12"/>
      <c r="P27" s="11"/>
      <c r="Q27" s="12"/>
      <c r="R27" s="12"/>
      <c r="S27" s="12"/>
      <c r="T27" s="12"/>
      <c r="U27" s="12"/>
      <c r="V27" s="12"/>
      <c r="W27" s="11"/>
      <c r="X27" s="12"/>
      <c r="Y27" s="12"/>
      <c r="Z27" s="12"/>
      <c r="AA27" s="12"/>
      <c r="AB27" s="12"/>
      <c r="AC27" s="12"/>
      <c r="AD27" s="11"/>
      <c r="AE27" s="12"/>
      <c r="AF27" s="12"/>
      <c r="AG27" s="12"/>
      <c r="AH27" s="12"/>
      <c r="AI27" s="12"/>
      <c r="AJ27" s="12"/>
      <c r="AK27" s="11"/>
      <c r="AL27" s="12"/>
      <c r="AM27" s="12"/>
      <c r="AN27" s="12"/>
      <c r="AO27" s="12"/>
      <c r="AP27" s="12"/>
      <c r="AQ27" s="12"/>
      <c r="AR27" s="11"/>
      <c r="AS27" s="12"/>
      <c r="AT27" s="12"/>
      <c r="AU27" s="12"/>
      <c r="AV27" s="12"/>
      <c r="AW27" s="12"/>
      <c r="AX27" s="12"/>
      <c r="AY27" s="11"/>
      <c r="AZ27" s="12"/>
      <c r="BA27" s="12"/>
      <c r="BB27" s="12"/>
      <c r="BC27" s="12"/>
      <c r="BD27" s="12"/>
      <c r="BE27" s="12"/>
      <c r="BF27" s="11"/>
      <c r="BG27" s="12"/>
      <c r="BH27" s="12"/>
      <c r="BI27" s="12"/>
      <c r="BJ27" s="12"/>
      <c r="BK27" s="12"/>
      <c r="BL27" s="12"/>
      <c r="BM27" s="11"/>
      <c r="BN27" s="12"/>
      <c r="BO27" s="12"/>
      <c r="BP27" s="12"/>
      <c r="BQ27" s="12"/>
    </row>
    <row r="28" customFormat="false" ht="19.5" hidden="false" customHeight="true" outlineLevel="0" collapsed="false">
      <c r="A28" s="27" t="s">
        <v>67</v>
      </c>
      <c r="B28" s="27"/>
      <c r="C28" s="28" t="s">
        <v>68</v>
      </c>
      <c r="D28" s="29" t="n">
        <f aca="false">MIN(D29:D32)</f>
        <v>46342</v>
      </c>
      <c r="E28" s="29" t="n">
        <f aca="false">MAX(E29:E32)</f>
        <v>46371</v>
      </c>
      <c r="F28" s="27" t="n">
        <f aca="false">E28-D28+1</f>
        <v>30</v>
      </c>
      <c r="G28" s="28" t="str">
        <f aca="false">COUNTIF(H29:H32,"Completado")&amp;" de 4 completadas"</f>
        <v>0 de 4 completadas</v>
      </c>
      <c r="H28" s="27"/>
      <c r="I28" s="11"/>
      <c r="J28" s="12"/>
      <c r="K28" s="12"/>
      <c r="L28" s="12"/>
      <c r="M28" s="12"/>
      <c r="N28" s="12"/>
      <c r="O28" s="12"/>
      <c r="P28" s="11"/>
      <c r="Q28" s="12"/>
      <c r="R28" s="12"/>
      <c r="S28" s="12"/>
      <c r="T28" s="12"/>
      <c r="U28" s="12"/>
      <c r="V28" s="12"/>
      <c r="W28" s="11"/>
      <c r="X28" s="12"/>
      <c r="Y28" s="12"/>
      <c r="Z28" s="12"/>
      <c r="AA28" s="12"/>
      <c r="AB28" s="12"/>
      <c r="AC28" s="12"/>
      <c r="AD28" s="11"/>
      <c r="AE28" s="12"/>
      <c r="AF28" s="12"/>
      <c r="AG28" s="12"/>
      <c r="AH28" s="12"/>
      <c r="AI28" s="12"/>
      <c r="AJ28" s="12"/>
      <c r="AK28" s="11"/>
      <c r="AL28" s="12"/>
      <c r="AM28" s="12"/>
      <c r="AN28" s="12"/>
      <c r="AO28" s="12"/>
      <c r="AP28" s="12"/>
      <c r="AQ28" s="12"/>
      <c r="AR28" s="11"/>
      <c r="AS28" s="12"/>
      <c r="AT28" s="12"/>
      <c r="AU28" s="12"/>
      <c r="AV28" s="12"/>
      <c r="AW28" s="12"/>
      <c r="AX28" s="12"/>
      <c r="AY28" s="11"/>
      <c r="AZ28" s="12"/>
      <c r="BA28" s="12"/>
      <c r="BB28" s="12"/>
      <c r="BC28" s="12"/>
      <c r="BD28" s="12"/>
      <c r="BE28" s="12"/>
      <c r="BF28" s="11"/>
      <c r="BG28" s="12"/>
      <c r="BH28" s="12"/>
      <c r="BI28" s="12"/>
      <c r="BJ28" s="12"/>
      <c r="BK28" s="12"/>
      <c r="BL28" s="12"/>
      <c r="BM28" s="11"/>
      <c r="BN28" s="12"/>
      <c r="BO28" s="12"/>
      <c r="BP28" s="12"/>
      <c r="BQ28" s="12"/>
    </row>
    <row r="29" customFormat="false" ht="27" hidden="false" customHeight="true" outlineLevel="0" collapsed="false">
      <c r="A29" s="13" t="n">
        <v>18</v>
      </c>
      <c r="B29" s="13" t="s">
        <v>67</v>
      </c>
      <c r="C29" s="14" t="s">
        <v>69</v>
      </c>
      <c r="D29" s="15" t="n">
        <v>46342</v>
      </c>
      <c r="E29" s="15" t="n">
        <v>46366</v>
      </c>
      <c r="F29" s="13" t="n">
        <f aca="false">E29-D29+1</f>
        <v>25</v>
      </c>
      <c r="G29" s="14" t="s">
        <v>70</v>
      </c>
      <c r="H29" s="16" t="s">
        <v>30</v>
      </c>
      <c r="I29" s="11"/>
      <c r="J29" s="12"/>
      <c r="K29" s="12"/>
      <c r="L29" s="12"/>
      <c r="M29" s="12"/>
      <c r="N29" s="12"/>
      <c r="O29" s="12"/>
      <c r="P29" s="11"/>
      <c r="Q29" s="12"/>
      <c r="R29" s="12"/>
      <c r="S29" s="12"/>
      <c r="T29" s="12"/>
      <c r="U29" s="12"/>
      <c r="V29" s="12"/>
      <c r="W29" s="11"/>
      <c r="X29" s="12"/>
      <c r="Y29" s="12"/>
      <c r="Z29" s="12"/>
      <c r="AA29" s="12"/>
      <c r="AB29" s="12"/>
      <c r="AC29" s="12"/>
      <c r="AD29" s="11"/>
      <c r="AE29" s="12"/>
      <c r="AF29" s="12"/>
      <c r="AG29" s="12"/>
      <c r="AH29" s="12"/>
      <c r="AI29" s="12"/>
      <c r="AJ29" s="12"/>
      <c r="AK29" s="11"/>
      <c r="AL29" s="12"/>
      <c r="AM29" s="12"/>
      <c r="AN29" s="12"/>
      <c r="AO29" s="12"/>
      <c r="AP29" s="12"/>
      <c r="AQ29" s="12"/>
      <c r="AR29" s="11"/>
      <c r="AS29" s="12"/>
      <c r="AT29" s="12"/>
      <c r="AU29" s="12"/>
      <c r="AV29" s="12"/>
      <c r="AW29" s="12"/>
      <c r="AX29" s="12"/>
      <c r="AY29" s="11"/>
      <c r="AZ29" s="12"/>
      <c r="BA29" s="12"/>
      <c r="BB29" s="12"/>
      <c r="BC29" s="12"/>
      <c r="BD29" s="12"/>
      <c r="BE29" s="12"/>
      <c r="BF29" s="11"/>
      <c r="BG29" s="12"/>
      <c r="BH29" s="12"/>
      <c r="BI29" s="12"/>
      <c r="BJ29" s="12"/>
      <c r="BK29" s="12"/>
      <c r="BL29" s="12"/>
      <c r="BM29" s="11"/>
      <c r="BN29" s="12"/>
      <c r="BO29" s="12"/>
      <c r="BP29" s="12"/>
      <c r="BQ29" s="12"/>
    </row>
    <row r="30" customFormat="false" ht="27" hidden="false" customHeight="true" outlineLevel="0" collapsed="false">
      <c r="A30" s="13" t="n">
        <v>19</v>
      </c>
      <c r="B30" s="13" t="s">
        <v>67</v>
      </c>
      <c r="C30" s="14" t="s">
        <v>71</v>
      </c>
      <c r="D30" s="15" t="n">
        <v>46356</v>
      </c>
      <c r="E30" s="15" t="n">
        <v>46363</v>
      </c>
      <c r="F30" s="13" t="n">
        <f aca="false">E30-D30+1</f>
        <v>8</v>
      </c>
      <c r="G30" s="14" t="s">
        <v>72</v>
      </c>
      <c r="H30" s="16" t="s">
        <v>30</v>
      </c>
      <c r="I30" s="11"/>
      <c r="J30" s="12"/>
      <c r="K30" s="12"/>
      <c r="L30" s="12"/>
      <c r="M30" s="12"/>
      <c r="N30" s="12"/>
      <c r="O30" s="12"/>
      <c r="P30" s="11"/>
      <c r="Q30" s="12"/>
      <c r="R30" s="12"/>
      <c r="S30" s="12"/>
      <c r="T30" s="12"/>
      <c r="U30" s="12"/>
      <c r="V30" s="12"/>
      <c r="W30" s="11"/>
      <c r="X30" s="12"/>
      <c r="Y30" s="12"/>
      <c r="Z30" s="12"/>
      <c r="AA30" s="12"/>
      <c r="AB30" s="12"/>
      <c r="AC30" s="12"/>
      <c r="AD30" s="11"/>
      <c r="AE30" s="12"/>
      <c r="AF30" s="12"/>
      <c r="AG30" s="12"/>
      <c r="AH30" s="12"/>
      <c r="AI30" s="12"/>
      <c r="AJ30" s="12"/>
      <c r="AK30" s="11"/>
      <c r="AL30" s="12"/>
      <c r="AM30" s="12"/>
      <c r="AN30" s="12"/>
      <c r="AO30" s="12"/>
      <c r="AP30" s="12"/>
      <c r="AQ30" s="12"/>
      <c r="AR30" s="11"/>
      <c r="AS30" s="12"/>
      <c r="AT30" s="12"/>
      <c r="AU30" s="12"/>
      <c r="AV30" s="12"/>
      <c r="AW30" s="12"/>
      <c r="AX30" s="12"/>
      <c r="AY30" s="11"/>
      <c r="AZ30" s="12"/>
      <c r="BA30" s="12"/>
      <c r="BB30" s="12"/>
      <c r="BC30" s="12"/>
      <c r="BD30" s="12"/>
      <c r="BE30" s="12"/>
      <c r="BF30" s="11"/>
      <c r="BG30" s="12"/>
      <c r="BH30" s="12"/>
      <c r="BI30" s="12"/>
      <c r="BJ30" s="12"/>
      <c r="BK30" s="12"/>
      <c r="BL30" s="12"/>
      <c r="BM30" s="11"/>
      <c r="BN30" s="12"/>
      <c r="BO30" s="12"/>
      <c r="BP30" s="12"/>
      <c r="BQ30" s="12"/>
    </row>
    <row r="31" customFormat="false" ht="27" hidden="false" customHeight="true" outlineLevel="0" collapsed="false">
      <c r="A31" s="13" t="n">
        <v>20</v>
      </c>
      <c r="B31" s="13" t="s">
        <v>67</v>
      </c>
      <c r="C31" s="14" t="s">
        <v>73</v>
      </c>
      <c r="D31" s="15" t="n">
        <v>46366</v>
      </c>
      <c r="E31" s="15" t="n">
        <v>46369</v>
      </c>
      <c r="F31" s="13" t="n">
        <f aca="false">E31-D31+1</f>
        <v>4</v>
      </c>
      <c r="G31" s="14" t="s">
        <v>74</v>
      </c>
      <c r="H31" s="16" t="s">
        <v>30</v>
      </c>
      <c r="I31" s="11"/>
      <c r="J31" s="12"/>
      <c r="K31" s="12"/>
      <c r="L31" s="12"/>
      <c r="M31" s="12"/>
      <c r="N31" s="12"/>
      <c r="O31" s="12"/>
      <c r="P31" s="11"/>
      <c r="Q31" s="12"/>
      <c r="R31" s="12"/>
      <c r="S31" s="12"/>
      <c r="T31" s="12"/>
      <c r="U31" s="12"/>
      <c r="V31" s="12"/>
      <c r="W31" s="11"/>
      <c r="X31" s="12"/>
      <c r="Y31" s="12"/>
      <c r="Z31" s="12"/>
      <c r="AA31" s="12"/>
      <c r="AB31" s="12"/>
      <c r="AC31" s="12"/>
      <c r="AD31" s="11"/>
      <c r="AE31" s="12"/>
      <c r="AF31" s="12"/>
      <c r="AG31" s="12"/>
      <c r="AH31" s="12"/>
      <c r="AI31" s="12"/>
      <c r="AJ31" s="12"/>
      <c r="AK31" s="11"/>
      <c r="AL31" s="12"/>
      <c r="AM31" s="12"/>
      <c r="AN31" s="12"/>
      <c r="AO31" s="12"/>
      <c r="AP31" s="12"/>
      <c r="AQ31" s="12"/>
      <c r="AR31" s="11"/>
      <c r="AS31" s="12"/>
      <c r="AT31" s="12"/>
      <c r="AU31" s="12"/>
      <c r="AV31" s="12"/>
      <c r="AW31" s="12"/>
      <c r="AX31" s="12"/>
      <c r="AY31" s="11"/>
      <c r="AZ31" s="12"/>
      <c r="BA31" s="12"/>
      <c r="BB31" s="12"/>
      <c r="BC31" s="12"/>
      <c r="BD31" s="12"/>
      <c r="BE31" s="12"/>
      <c r="BF31" s="11"/>
      <c r="BG31" s="12"/>
      <c r="BH31" s="12"/>
      <c r="BI31" s="12"/>
      <c r="BJ31" s="12"/>
      <c r="BK31" s="12"/>
      <c r="BL31" s="12"/>
      <c r="BM31" s="11"/>
      <c r="BN31" s="12"/>
      <c r="BO31" s="12"/>
      <c r="BP31" s="12"/>
      <c r="BQ31" s="12"/>
    </row>
    <row r="32" customFormat="false" ht="27" hidden="false" customHeight="true" outlineLevel="0" collapsed="false">
      <c r="A32" s="13" t="n">
        <v>21</v>
      </c>
      <c r="B32" s="13" t="s">
        <v>67</v>
      </c>
      <c r="C32" s="14" t="s">
        <v>75</v>
      </c>
      <c r="D32" s="15" t="n">
        <v>46367</v>
      </c>
      <c r="E32" s="15" t="n">
        <v>46371</v>
      </c>
      <c r="F32" s="13" t="n">
        <f aca="false">E32-D32+1</f>
        <v>5</v>
      </c>
      <c r="G32" s="20" t="s">
        <v>76</v>
      </c>
      <c r="H32" s="16" t="s">
        <v>30</v>
      </c>
      <c r="I32" s="11"/>
      <c r="J32" s="12"/>
      <c r="K32" s="12"/>
      <c r="L32" s="12"/>
      <c r="M32" s="12"/>
      <c r="N32" s="12"/>
      <c r="O32" s="12"/>
      <c r="P32" s="11"/>
      <c r="Q32" s="12"/>
      <c r="R32" s="12"/>
      <c r="S32" s="12"/>
      <c r="T32" s="12"/>
      <c r="U32" s="12"/>
      <c r="V32" s="12"/>
      <c r="W32" s="11"/>
      <c r="X32" s="12"/>
      <c r="Y32" s="12"/>
      <c r="Z32" s="12"/>
      <c r="AA32" s="12"/>
      <c r="AB32" s="12"/>
      <c r="AC32" s="12"/>
      <c r="AD32" s="11"/>
      <c r="AE32" s="12"/>
      <c r="AF32" s="12"/>
      <c r="AG32" s="12"/>
      <c r="AH32" s="12"/>
      <c r="AI32" s="12"/>
      <c r="AJ32" s="12"/>
      <c r="AK32" s="11"/>
      <c r="AL32" s="12"/>
      <c r="AM32" s="12"/>
      <c r="AN32" s="12"/>
      <c r="AO32" s="12"/>
      <c r="AP32" s="12"/>
      <c r="AQ32" s="12"/>
      <c r="AR32" s="11"/>
      <c r="AS32" s="12"/>
      <c r="AT32" s="12"/>
      <c r="AU32" s="12"/>
      <c r="AV32" s="12"/>
      <c r="AW32" s="12"/>
      <c r="AX32" s="12"/>
      <c r="AY32" s="11"/>
      <c r="AZ32" s="12"/>
      <c r="BA32" s="12"/>
      <c r="BB32" s="12"/>
      <c r="BC32" s="12"/>
      <c r="BD32" s="12"/>
      <c r="BE32" s="12"/>
      <c r="BF32" s="11"/>
      <c r="BG32" s="12"/>
      <c r="BH32" s="12"/>
      <c r="BI32" s="12"/>
      <c r="BJ32" s="12"/>
      <c r="BK32" s="12"/>
      <c r="BL32" s="12"/>
      <c r="BM32" s="11"/>
      <c r="BN32" s="12"/>
      <c r="BO32" s="12"/>
      <c r="BP32" s="12"/>
      <c r="BQ32" s="12"/>
    </row>
    <row r="34" customFormat="false" ht="15" hidden="false" customHeight="false" outlineLevel="0" collapsed="false">
      <c r="C34" s="30" t="s">
        <v>77</v>
      </c>
      <c r="F34" s="30" t="n">
        <f aca="false">MAX(E7:E32)-MIN(D7:D32)+1</f>
        <v>61</v>
      </c>
    </row>
    <row r="35" customFormat="false" ht="15" hidden="false" customHeight="false" outlineLevel="0" collapsed="false">
      <c r="C35" s="30" t="s">
        <v>78</v>
      </c>
      <c r="F35" s="30" t="str">
        <f aca="false">COUNTIF(H7:H32,"Completado")&amp;" / "&amp;COUNTA(A7:A32)-5</f>
        <v>1 / 21</v>
      </c>
    </row>
    <row r="37" customFormat="false" ht="15" hidden="false" customHeight="false" outlineLevel="0" collapsed="false">
      <c r="C37" s="30" t="s">
        <v>79</v>
      </c>
    </row>
    <row r="38" customFormat="false" ht="15" hidden="false" customHeight="false" outlineLevel="0" collapsed="false">
      <c r="B38" s="31"/>
      <c r="C38" s="32" t="s">
        <v>80</v>
      </c>
    </row>
    <row r="39" customFormat="false" ht="15" hidden="false" customHeight="false" outlineLevel="0" collapsed="false">
      <c r="B39" s="33"/>
      <c r="C39" s="32" t="s">
        <v>81</v>
      </c>
    </row>
    <row r="40" customFormat="false" ht="15" hidden="false" customHeight="false" outlineLevel="0" collapsed="false">
      <c r="B40" s="34"/>
      <c r="C40" s="32" t="s">
        <v>82</v>
      </c>
    </row>
    <row r="41" customFormat="false" ht="15" hidden="false" customHeight="false" outlineLevel="0" collapsed="false">
      <c r="B41" s="35"/>
      <c r="C41" s="32" t="s">
        <v>83</v>
      </c>
    </row>
    <row r="42" customFormat="false" ht="15" hidden="false" customHeight="false" outlineLevel="0" collapsed="false">
      <c r="B42" s="36"/>
      <c r="C42" s="32" t="s">
        <v>84</v>
      </c>
    </row>
    <row r="43" customFormat="false" ht="15" hidden="false" customHeight="false" outlineLevel="0" collapsed="false">
      <c r="B43" s="37"/>
      <c r="C43" s="32" t="s">
        <v>85</v>
      </c>
    </row>
    <row r="44" customFormat="false" ht="15" hidden="false" customHeight="false" outlineLevel="0" collapsed="false">
      <c r="B44" s="38"/>
      <c r="C44" s="32" t="s">
        <v>86</v>
      </c>
    </row>
    <row r="45" customFormat="false" ht="15" hidden="false" customHeight="false" outlineLevel="0" collapsed="false">
      <c r="B45" s="39"/>
      <c r="C45" s="32" t="s">
        <v>87</v>
      </c>
    </row>
    <row r="46" customFormat="false" ht="15" hidden="false" customHeight="false" outlineLevel="0" collapsed="false">
      <c r="B46" s="40"/>
      <c r="C46" s="32" t="s">
        <v>88</v>
      </c>
    </row>
  </sheetData>
  <mergeCells count="13">
    <mergeCell ref="A3:H3"/>
    <mergeCell ref="I4:X4"/>
    <mergeCell ref="Y4:BB4"/>
    <mergeCell ref="BC4:BQ4"/>
    <mergeCell ref="I5:O5"/>
    <mergeCell ref="P5:V5"/>
    <mergeCell ref="W5:AC5"/>
    <mergeCell ref="AD5:AJ5"/>
    <mergeCell ref="AK5:AQ5"/>
    <mergeCell ref="AR5:AX5"/>
    <mergeCell ref="AY5:BE5"/>
    <mergeCell ref="BF5:BL5"/>
    <mergeCell ref="BM5:BQ5"/>
  </mergeCells>
  <conditionalFormatting sqref="I7:BQ32">
    <cfRule type="expression" priority="2" aboveAverage="0" equalAverage="0" bottom="0" percent="0" rank="0" text="" dxfId="0">
      <formula>AND(LEFT($G7,4)="Hito",I$6=$E7+1)</formula>
    </cfRule>
    <cfRule type="expression" priority="3" aboveAverage="0" equalAverage="0" bottom="0" percent="0" rank="0" text="" dxfId="1">
      <formula>AND($H7="Completado",I$6&gt;=$D7,I$6&lt;=$E7)</formula>
    </cfRule>
    <cfRule type="expression" priority="4" aboveAverage="0" equalAverage="0" bottom="0" percent="0" rank="0" text="" dxfId="2">
      <formula>AND($B7="F1",I$6&gt;=$D7,I$6&lt;=$E7)</formula>
    </cfRule>
    <cfRule type="expression" priority="5" aboveAverage="0" equalAverage="0" bottom="0" percent="0" rank="0" text="" dxfId="3">
      <formula>AND($A7="F1",I$6&gt;=$D7,I$6&lt;=$E7)</formula>
    </cfRule>
    <cfRule type="expression" priority="6" aboveAverage="0" equalAverage="0" bottom="0" percent="0" rank="0" text="" dxfId="4">
      <formula>AND($B7="F2",I$6&gt;=$D7,I$6&lt;=$E7)</formula>
    </cfRule>
    <cfRule type="expression" priority="7" aboveAverage="0" equalAverage="0" bottom="0" percent="0" rank="0" text="" dxfId="5">
      <formula>AND($A7="F2",I$6&gt;=$D7,I$6&lt;=$E7)</formula>
    </cfRule>
    <cfRule type="expression" priority="8" aboveAverage="0" equalAverage="0" bottom="0" percent="0" rank="0" text="" dxfId="6">
      <formula>AND($B7="F3",I$6&gt;=$D7,I$6&lt;=$E7)</formula>
    </cfRule>
    <cfRule type="expression" priority="9" aboveAverage="0" equalAverage="0" bottom="0" percent="0" rank="0" text="" dxfId="7">
      <formula>AND($A7="F3",I$6&gt;=$D7,I$6&lt;=$E7)</formula>
    </cfRule>
    <cfRule type="expression" priority="10" aboveAverage="0" equalAverage="0" bottom="0" percent="0" rank="0" text="" dxfId="8">
      <formula>AND($B7="F4",I$6&gt;=$D7,I$6&lt;=$E7)</formula>
    </cfRule>
    <cfRule type="expression" priority="11" aboveAverage="0" equalAverage="0" bottom="0" percent="0" rank="0" text="" dxfId="9">
      <formula>AND($A7="F4",I$6&gt;=$D7,I$6&lt;=$E7)</formula>
    </cfRule>
    <cfRule type="expression" priority="12" aboveAverage="0" equalAverage="0" bottom="0" percent="0" rank="0" text="" dxfId="10">
      <formula>AND($B7="F5",I$6&gt;=$D7,I$6&lt;=$E7)</formula>
    </cfRule>
    <cfRule type="expression" priority="13" aboveAverage="0" equalAverage="0" bottom="0" percent="0" rank="0" text="" dxfId="11">
      <formula>AND($A7="F5",I$6&gt;=$D7,I$6&lt;=$E7)</formula>
    </cfRule>
    <cfRule type="expression" priority="14" aboveAverage="0" equalAverage="0" bottom="0" percent="0" rank="0" text="" dxfId="12">
      <formula>COUNTIF(Feriados!$A$2:$A$20,I$6)&gt;0</formula>
    </cfRule>
    <cfRule type="expression" priority="15" aboveAverage="0" equalAverage="0" bottom="0" percent="0" rank="0" text="" dxfId="13">
      <formula>WEEKDAY(I$6,2)&gt;5</formula>
    </cfRule>
  </conditionalFormatting>
  <dataValidations count="1">
    <dataValidation allowBlank="false" errorStyle="stop" operator="between" showDropDown="false" showErrorMessage="false" showInputMessage="false" sqref="H7:H32" type="list">
      <formula1>"Pendiente,En curso,Completado"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41" t="s">
        <v>89</v>
      </c>
    </row>
    <row r="3" customFormat="false" ht="15" hidden="false" customHeight="false" outlineLevel="0" collapsed="false">
      <c r="A3" s="42" t="s">
        <v>15</v>
      </c>
      <c r="B3" s="42" t="s">
        <v>90</v>
      </c>
      <c r="C3" s="42" t="s">
        <v>91</v>
      </c>
      <c r="D3" s="42" t="s">
        <v>92</v>
      </c>
      <c r="E3" s="42" t="s">
        <v>22</v>
      </c>
    </row>
    <row r="4" customFormat="false" ht="15" hidden="false" customHeight="false" outlineLevel="0" collapsed="false">
      <c r="A4" s="43" t="n">
        <v>1</v>
      </c>
      <c r="B4" s="43" t="s">
        <v>93</v>
      </c>
      <c r="C4" s="44" t="n">
        <f aca="false">Cronograma!E15</f>
        <v>46334</v>
      </c>
      <c r="D4" s="45" t="str">
        <f aca="false">Cronograma!C15</f>
        <v>Centrado (CG) y prueba de superficies en tierra</v>
      </c>
      <c r="E4" s="45" t="str">
        <f aca="false">Cronograma!H15</f>
        <v>Pendiente</v>
      </c>
    </row>
    <row r="5" customFormat="false" ht="15" hidden="false" customHeight="false" outlineLevel="0" collapsed="false">
      <c r="A5" s="43" t="n">
        <v>2</v>
      </c>
      <c r="B5" s="43" t="s">
        <v>94</v>
      </c>
      <c r="C5" s="44" t="n">
        <f aca="false">Cronograma!E21</f>
        <v>46339</v>
      </c>
      <c r="D5" s="45" t="str">
        <f aca="false">Cronograma!C21</f>
        <v>Prueba integrada en tierra: enlace completo y corte de red</v>
      </c>
      <c r="E5" s="45" t="str">
        <f aca="false">Cronograma!H21</f>
        <v>Pendiente</v>
      </c>
    </row>
    <row r="6" customFormat="false" ht="15" hidden="false" customHeight="false" outlineLevel="0" collapsed="false">
      <c r="A6" s="43" t="n">
        <v>3</v>
      </c>
      <c r="B6" s="43" t="s">
        <v>95</v>
      </c>
      <c r="C6" s="44" t="n">
        <f aca="false">Cronograma!E24</f>
        <v>46348</v>
      </c>
      <c r="D6" s="45" t="str">
        <f aca="false">Cronograma!C24</f>
        <v>Primeros vuelos en línea de vista a baja altura</v>
      </c>
      <c r="E6" s="45" t="str">
        <f aca="false">Cronograma!H24</f>
        <v>Pendiente</v>
      </c>
    </row>
    <row r="7" customFormat="false" ht="15" hidden="false" customHeight="false" outlineLevel="0" collapsed="false">
      <c r="A7" s="43" t="n">
        <v>4</v>
      </c>
      <c r="B7" s="43" t="s">
        <v>96</v>
      </c>
      <c r="C7" s="44" t="n">
        <f aca="false">Cronograma!E26</f>
        <v>46360</v>
      </c>
      <c r="D7" s="45" t="str">
        <f aca="false">Cronograma!C26</f>
        <v>Vuelos de misión con sensores y registro de datos</v>
      </c>
      <c r="E7" s="45" t="str">
        <f aca="false">Cronograma!H26</f>
        <v>Pendiente</v>
      </c>
    </row>
    <row r="8" customFormat="false" ht="15" hidden="false" customHeight="false" outlineLevel="0" collapsed="false">
      <c r="A8" s="43" t="n">
        <v>5</v>
      </c>
      <c r="B8" s="43" t="s">
        <v>97</v>
      </c>
      <c r="C8" s="44" t="n">
        <f aca="false">Cronograma!E32</f>
        <v>46371</v>
      </c>
      <c r="D8" s="45" t="str">
        <f aca="false">Cronograma!C32</f>
        <v>Preparación de la sustentación (diapositivas y video)</v>
      </c>
      <c r="E8" s="45" t="str">
        <f aca="false">Cronograma!H32</f>
        <v>Pendiente</v>
      </c>
    </row>
    <row r="10" customFormat="false" ht="15" hidden="false" customHeight="false" outlineLevel="0" collapsed="false">
      <c r="B10" s="46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</cols>
  <sheetData>
    <row r="1" customFormat="false" ht="15" hidden="false" customHeight="false" outlineLevel="0" collapsed="false">
      <c r="A1" s="47" t="s">
        <v>91</v>
      </c>
      <c r="B1" s="47" t="s">
        <v>99</v>
      </c>
    </row>
    <row r="2" customFormat="false" ht="15" hidden="false" customHeight="false" outlineLevel="0" collapsed="false">
      <c r="A2" s="48" t="n">
        <v>46327</v>
      </c>
      <c r="B2" s="32" t="s">
        <v>100</v>
      </c>
    </row>
    <row r="3" customFormat="false" ht="15" hidden="false" customHeight="false" outlineLevel="0" collapsed="false">
      <c r="A3" s="48" t="n">
        <v>46364</v>
      </c>
      <c r="B3" s="32" t="s">
        <v>101</v>
      </c>
    </row>
    <row r="4" customFormat="false" ht="15" hidden="false" customHeight="false" outlineLevel="0" collapsed="false">
      <c r="A4" s="48" t="n">
        <v>46365</v>
      </c>
      <c r="B4" s="32" t="s">
        <v>102</v>
      </c>
    </row>
    <row r="6" customFormat="false" ht="15" hidden="false" customHeight="false" outlineLevel="0" collapsed="false">
      <c r="A6" s="46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2026-10-21T01:23:37Z</dcterms:created>
  <dc:creator>openpyxl</dc:creator>
  <dc:description/>
  <dc:language>en-US</dc:language>
  <cp:lastModifiedBy/>
  <dcterms:modified xsi:type="dcterms:W3CDTF">2026-10-21T01:23:37Z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